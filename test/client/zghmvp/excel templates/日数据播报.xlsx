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580" windowHeight="13354" firstSheet="5" activeTab="2"/>
  </bookViews>
  <sheets>
    <sheet name="站点" sheetId="4" r:id="rId1"/>
    <sheet name="区域" sheetId="6" r:id="rId2"/>
    <sheet name="站点-月" sheetId="15" r:id="rId3"/>
    <sheet name="T-1达成异常反馈" sheetId="14" r:id="rId4"/>
    <sheet name="KPI未达成优秀" sheetId="12" r:id="rId5"/>
    <sheet name="尾部站点" sheetId="13" r:id="rId6"/>
    <sheet name="配置" sheetId="5" r:id="rId7"/>
  </sheets>
  <definedNames>
    <definedName name="_xlnm._FilterDatabase" localSheetId="0" hidden="1">站点!$A$3:$CQ$3</definedName>
    <definedName name="_xlnm._FilterDatabase" localSheetId="1" hidden="1">区域!$A$3:$AM$3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<sst xmlns="http://schemas.openxmlformats.org/spreadsheetml/2006/main" count="381" uniqueCount="125">
  <si>
    <t>商</t>
  </si>
  <si>
    <t>城市</t>
  </si>
  <si>
    <t>区域</t>
  </si>
  <si>
    <t>站点名称</t>
  </si>
  <si>
    <t>日期</t>
  </si>
  <si>
    <t>单量&amp;人效</t>
  </si>
  <si>
    <t>排名&amp;得分</t>
  </si>
  <si>
    <t>配送准时率</t>
  </si>
  <si>
    <t>复合严重超时率</t>
  </si>
  <si>
    <t>配送客诉率</t>
  </si>
  <si>
    <t>虚假点送达率</t>
  </si>
  <si>
    <t>有效运力达成率</t>
  </si>
  <si>
    <t>配送原因未完成订单占比</t>
  </si>
  <si>
    <t>计划外出勤占比</t>
  </si>
  <si>
    <t>排班后准确出勤率</t>
  </si>
  <si>
    <t>排班出勤合格率</t>
  </si>
  <si>
    <t>精细化排班考核</t>
  </si>
  <si>
    <t>骑手行为异常率</t>
  </si>
  <si>
    <t>准时达标站日次</t>
  </si>
  <si>
    <t>骑手不合格交付订单占比</t>
  </si>
  <si>
    <t>月累计完成单</t>
  </si>
  <si>
    <t>同期单量</t>
  </si>
  <si>
    <t>月环比</t>
  </si>
  <si>
    <t>大网单</t>
  </si>
  <si>
    <t>完成单</t>
  </si>
  <si>
    <t>完成单_昨日</t>
  </si>
  <si>
    <t>完成单_环比</t>
  </si>
  <si>
    <t>有单骑手</t>
  </si>
  <si>
    <t>有单骑手_昨日</t>
  </si>
  <si>
    <t>有单骑手_环比</t>
  </si>
  <si>
    <t>人效骑手_数量</t>
  </si>
  <si>
    <t>人效骑手_昨日</t>
  </si>
  <si>
    <t>人效骑手_环比</t>
  </si>
  <si>
    <t>人效</t>
  </si>
  <si>
    <t>人效_昨日</t>
  </si>
  <si>
    <t>人效_环比</t>
  </si>
  <si>
    <t>排名</t>
  </si>
  <si>
    <t>得分</t>
  </si>
  <si>
    <t>超时量</t>
  </si>
  <si>
    <t>普通超时</t>
  </si>
  <si>
    <t>提前送达量</t>
  </si>
  <si>
    <t>率值</t>
  </si>
  <si>
    <t>超时10至30</t>
  </si>
  <si>
    <t>超时30至60</t>
  </si>
  <si>
    <t>超时60以上</t>
  </si>
  <si>
    <t>客诉量</t>
  </si>
  <si>
    <t>违规量</t>
  </si>
  <si>
    <t>出勤</t>
  </si>
  <si>
    <t>达成</t>
  </si>
  <si>
    <t>指标</t>
  </si>
  <si>
    <t>未完成量</t>
  </si>
  <si>
    <t>占比</t>
  </si>
  <si>
    <t>扣分</t>
  </si>
  <si>
    <t>累计未达标次数</t>
  </si>
  <si>
    <t>累计扣分</t>
  </si>
  <si>
    <t>计划外出勤时段总人次</t>
  </si>
  <si>
    <t>出勤时段总人次</t>
  </si>
  <si>
    <t>天气</t>
  </si>
  <si>
    <t>有排班且考勤正常骑手数</t>
  </si>
  <si>
    <t>有排班骑手数</t>
  </si>
  <si>
    <t>全天排班骑手数</t>
  </si>
  <si>
    <t>全天排班出勤合格数</t>
  </si>
  <si>
    <t>全天排班出勤合格率</t>
  </si>
  <si>
    <t>午高峰排班骑手数</t>
  </si>
  <si>
    <t>午高峰排班出勤合格数</t>
  </si>
  <si>
    <t>午高峰排班出勤合格率</t>
  </si>
  <si>
    <t>晚高峰排班骑手数</t>
  </si>
  <si>
    <t>晚高峰排班出勤合格数</t>
  </si>
  <si>
    <t>晚高峰排班出勤合格率</t>
  </si>
  <si>
    <t>高峰时段排班出勤合格率</t>
  </si>
  <si>
    <t>日得分</t>
  </si>
  <si>
    <t>累计天数</t>
  </si>
  <si>
    <t>累计得分</t>
  </si>
  <si>
    <t>月得分</t>
  </si>
  <si>
    <t>提前点送达</t>
  </si>
  <si>
    <t>服务态度差</t>
  </si>
  <si>
    <t>丢餐</t>
  </si>
  <si>
    <t>未送达指定地点</t>
  </si>
  <si>
    <t>整单送错</t>
  </si>
  <si>
    <t>月客诉量</t>
  </si>
  <si>
    <t>月率值</t>
  </si>
  <si>
    <t>是否达标</t>
  </si>
  <si>
    <t>累计</t>
  </si>
  <si>
    <t>送达前未联系用户量</t>
  </si>
  <si>
    <t>不看备注量</t>
  </si>
  <si>
    <t>人效骑手</t>
  </si>
  <si>
    <t>环比</t>
  </si>
  <si>
    <t>督导</t>
  </si>
  <si>
    <t>目标线/安全线</t>
  </si>
  <si>
    <t>日均</t>
  </si>
  <si>
    <t>站点难度</t>
  </si>
  <si>
    <t>目标线</t>
  </si>
  <si>
    <t>安全线</t>
  </si>
  <si>
    <t>优秀差值</t>
  </si>
  <si>
    <t>出勤未达成数</t>
  </si>
  <si>
    <t>天气状况</t>
  </si>
  <si>
    <t>请在"√"对应单元格内反馈异常原因</t>
  </si>
  <si>
    <t>反馈项</t>
  </si>
  <si>
    <t>复合严重
超时率</t>
  </si>
  <si>
    <t>违规点
送达率</t>
  </si>
  <si>
    <t>有效运力
达成率</t>
  </si>
  <si>
    <t>配送原因未
完成订单占比</t>
  </si>
  <si>
    <t>行为类
客诉率</t>
  </si>
  <si>
    <t>夜配准时率</t>
  </si>
  <si>
    <t>风控提前点送达率得分</t>
  </si>
  <si>
    <t>不看备注得分</t>
  </si>
  <si>
    <t>送达前未联系用户得分</t>
  </si>
  <si>
    <t>KPI达成明细</t>
  </si>
  <si>
    <t>上上月达成</t>
  </si>
  <si>
    <t>上月达成</t>
  </si>
  <si>
    <t>当前达成</t>
  </si>
  <si>
    <t>保站备注</t>
  </si>
  <si>
    <t>【途客】xxxx年xx月xx日 尾部站点</t>
  </si>
  <si>
    <t>站点</t>
  </si>
  <si>
    <t>分值</t>
  </si>
  <si>
    <t>准时率</t>
  </si>
  <si>
    <t>复合严超率</t>
  </si>
  <si>
    <t>客诉率</t>
  </si>
  <si>
    <t>违规点送达率</t>
  </si>
  <si>
    <t>广州</t>
  </si>
  <si>
    <t>分数</t>
  </si>
  <si>
    <t>深圳</t>
  </si>
  <si>
    <t>上海</t>
  </si>
  <si>
    <t>惠州</t>
  </si>
  <si>
    <t>虚假点送达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</si>
</sst>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%"/>
    <numFmt numFmtId="178" formatCode="0_ "/>
    <numFmt numFmtId="179" formatCode="yyyy\-mm\-dd"/>
    <numFmt numFmtId="180" formatCode="yyyy&quot;年&quot;m&quot;月&quot;d&quot;日&quot;;@"/>
    <numFmt numFmtId="181" formatCode="m/d;@"/>
    <numFmt numFmtId="182" formatCode="0;\-0;;@"/>
    <numFmt numFmtId="183" formatCode="0.0000%"/>
    <numFmt numFmtId="184" formatCode="[$-409]yyyy\-mm\-dd;@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0"/>
      <name val="宋体"/>
      <charset val="134"/>
    </font>
    <font>
      <b/>
      <sz val="11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90">
    <xf numFmtId="0" fontId="0" fillId="0" borderId="0" xfId="0"/>
    <xf numFmtId="176" fontId="0" fillId="0" borderId="0" xfId="0" applyNumberFormat="1" applyAlignment="1">
      <alignment horizontal="center" vertical="center"/>
    </xf>
    <xf numFmtId="177" fontId="0" fillId="0" borderId="0" xfId="0" applyNumberFormat="1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0" fontId="0" fillId="0" borderId="1" xfId="0" applyNumberFormat="1" applyFont="1" applyFill="1" applyBorder="1" applyAlignment="1" applyProtection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82" fontId="3" fillId="3" borderId="2" xfId="0" applyNumberFormat="1" applyFont="1" applyFill="1" applyBorder="1" applyAlignment="1">
      <alignment horizontal="center" vertical="center"/>
    </xf>
    <xf numFmtId="182" fontId="3" fillId="3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83" fontId="6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84" fontId="5" fillId="3" borderId="2" xfId="0" applyNumberFormat="1" applyFont="1" applyFill="1" applyBorder="1" applyAlignment="1">
      <alignment horizontal="center" vertical="center"/>
    </xf>
    <xf numFmtId="179" fontId="5" fillId="3" borderId="2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84" fontId="5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82" fontId="3" fillId="3" borderId="5" xfId="0" applyNumberFormat="1" applyFont="1" applyFill="1" applyBorder="1" applyAlignment="1">
      <alignment horizontal="center" vertical="center"/>
    </xf>
    <xf numFmtId="182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0" fontId="3" fillId="3" borderId="5" xfId="0" applyNumberFormat="1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83" fontId="3" fillId="3" borderId="1" xfId="0" applyNumberFormat="1" applyFont="1" applyFill="1" applyBorder="1" applyAlignment="1">
      <alignment horizontal="center" vertical="center"/>
    </xf>
    <xf numFmtId="179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82" fontId="3" fillId="6" borderId="1" xfId="0" applyNumberFormat="1" applyFont="1" applyFill="1" applyBorder="1" applyAlignment="1">
      <alignment horizontal="center" vertical="center"/>
    </xf>
    <xf numFmtId="182" fontId="3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84" fontId="5" fillId="3" borderId="5" xfId="0" applyNumberFormat="1" applyFont="1" applyFill="1" applyBorder="1" applyAlignment="1">
      <alignment horizontal="center" vertical="center"/>
    </xf>
    <xf numFmtId="184" fontId="3" fillId="3" borderId="1" xfId="0" applyNumberFormat="1" applyFont="1" applyFill="1" applyBorder="1" applyAlignment="1">
      <alignment horizontal="center" vertical="center"/>
    </xf>
    <xf numFmtId="184" fontId="3" fillId="3" borderId="4" xfId="0" applyNumberFormat="1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184" fontId="3" fillId="3" borderId="6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81" fontId="3" fillId="6" borderId="1" xfId="0" applyNumberFormat="1" applyFont="1" applyFill="1" applyBorder="1" applyAlignment="1">
      <alignment horizontal="center" vertical="center"/>
    </xf>
    <xf numFmtId="182" fontId="3" fillId="2" borderId="1" xfId="0" applyNumberFormat="1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/>
    </xf>
    <xf numFmtId="183" fontId="5" fillId="3" borderId="2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bgColor rgb="FFFF0000"/>
        </patternFill>
      </fill>
    </dxf>
    <dxf>
      <fill>
        <patternFill patternType="solid">
          <bgColor rgb="FFFF7A7A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00E41908"/>
      <color rgb="00DF3621"/>
      <color rgb="00FF7A7A"/>
      <color rgb="00FFC7C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70C0"/>
  </sheetPr>
  <dimension ref="A1:CQ3"/>
  <sheetViews>
    <sheetView workbookViewId="0">
      <pane xSplit="4" ySplit="3" topLeftCell="AJ4" activePane="bottomRight" state="frozen"/>
      <selection/>
      <selection pane="topRight"/>
      <selection pane="bottomLeft"/>
      <selection pane="bottomRight" activeCell="AV12" sqref="AV12"/>
    </sheetView>
  </sheetViews>
  <sheetFormatPr defaultColWidth="9" defaultRowHeight="25" customHeight="1" outlineLevelRow="2"/>
  <cols>
    <col min="1" max="1" width="5.62162162162162" style="73" hidden="1" customWidth="1"/>
    <col min="2" max="2" width="8.09009009009009" style="38" customWidth="1"/>
    <col min="3" max="3" width="9.54054054054054" style="38" customWidth="1"/>
    <col min="4" max="4" width="14" style="38" customWidth="1"/>
    <col min="5" max="5" width="14" style="73" hidden="1" customWidth="1"/>
    <col min="6" max="6" width="14.6306306306306" style="38" customWidth="1"/>
    <col min="7" max="7" width="9.90990990990991" style="38" customWidth="1"/>
    <col min="8" max="8" width="13.0900900900901" style="44" customWidth="1"/>
    <col min="9" max="9" width="7.81981981981982" style="38" customWidth="1"/>
    <col min="10" max="10" width="11.3693693693694" style="38" customWidth="1"/>
    <col min="11" max="11" width="12.2792792792793" style="38" hidden="1" customWidth="1"/>
    <col min="12" max="12" width="12.2792792792793" style="44" hidden="1" customWidth="1"/>
    <col min="13" max="13" width="9.90990990990991" style="38" customWidth="1"/>
    <col min="14" max="14" width="15.9099099099099" style="38" hidden="1" customWidth="1"/>
    <col min="15" max="15" width="15.9099099099099" style="44" hidden="1" customWidth="1"/>
    <col min="16" max="17" width="15.9099099099099" style="38" hidden="1" customWidth="1"/>
    <col min="18" max="18" width="15.9099099099099" style="44" hidden="1" customWidth="1"/>
    <col min="19" max="19" width="11.1801801801802" style="41" customWidth="1"/>
    <col min="20" max="20" width="11.1801801801802" style="41" hidden="1" customWidth="1"/>
    <col min="21" max="21" width="11.1801801801802" style="44" hidden="1" customWidth="1"/>
    <col min="22" max="22" width="7.18018018018018" style="38" customWidth="1"/>
    <col min="23" max="23" width="9.54054054054054" style="41" customWidth="1"/>
    <col min="24" max="24" width="7.81981981981982" style="42" hidden="1" customWidth="1"/>
    <col min="25" max="25" width="9.90990990990991" style="42" hidden="1" customWidth="1"/>
    <col min="26" max="26" width="12.2792792792793" style="42" hidden="1" customWidth="1"/>
    <col min="27" max="27" width="9.63063063063063" style="12" customWidth="1"/>
    <col min="28" max="28" width="8.63063063063063" style="41" customWidth="1"/>
    <col min="29" max="29" width="12.4594594594595" style="42" hidden="1" customWidth="1"/>
    <col min="30" max="30" width="12.4594594594595" style="42" customWidth="1"/>
    <col min="31" max="31" width="12.3693693693694" style="42" customWidth="1"/>
    <col min="32" max="32" width="9.63063063063063" style="12" customWidth="1"/>
    <col min="33" max="33" width="8.63063063063063" style="41" customWidth="1"/>
    <col min="34" max="34" width="7.81981981981982" style="42" customWidth="1"/>
    <col min="35" max="35" width="9.63063063063063" style="12" customWidth="1"/>
    <col min="36" max="36" width="8.63063063063063" style="41" customWidth="1"/>
    <col min="37" max="37" width="7.81981981981982" style="42" hidden="1" customWidth="1"/>
    <col min="38" max="38" width="9.63063063063063" style="12" customWidth="1"/>
    <col min="39" max="39" width="8.63063063063063" style="41" customWidth="1"/>
    <col min="40" max="42" width="8.63063063063063" style="38" customWidth="1"/>
    <col min="43" max="43" width="9.63063063063063" style="12" customWidth="1"/>
    <col min="44" max="45" width="8.63063063063063" style="41" customWidth="1"/>
    <col min="46" max="46" width="9.90990990990991" style="42" hidden="1" customWidth="1"/>
    <col min="47" max="47" width="8.63063063063063" style="43" customWidth="1"/>
    <col min="48" max="48" width="8.63063063063063" style="38" customWidth="1"/>
    <col min="49" max="49" width="17" style="38" hidden="1" customWidth="1"/>
    <col min="50" max="50" width="9.90990990990991" style="38" customWidth="1"/>
    <col min="51" max="51" width="24.0900900900901" style="38" hidden="1" customWidth="1"/>
    <col min="52" max="52" width="17" style="38" hidden="1" customWidth="1"/>
    <col min="53" max="53" width="8.63063063063063" style="44" customWidth="1"/>
    <col min="54" max="54" width="8.63063063063063" style="38" customWidth="1"/>
    <col min="55" max="55" width="12.1261261261261" style="38" hidden="1" customWidth="1"/>
    <col min="56" max="56" width="26.3693693693694" style="38" hidden="1" customWidth="1"/>
    <col min="57" max="57" width="14.6306306306306" style="38" hidden="1" customWidth="1"/>
    <col min="58" max="58" width="8.63063063063063" style="44" customWidth="1"/>
    <col min="59" max="59" width="8.63063063063063" style="38" customWidth="1"/>
    <col min="60" max="60" width="16" style="38" hidden="1" customWidth="1"/>
    <col min="61" max="61" width="20.3783783783784" style="38" hidden="1" customWidth="1"/>
    <col min="62" max="62" width="20.3783783783784" style="44" customWidth="1"/>
    <col min="63" max="63" width="18.2522522522523" style="38" hidden="1" customWidth="1"/>
    <col min="64" max="64" width="22.6216216216216" style="38" hidden="1" customWidth="1"/>
    <col min="65" max="65" width="22.6216216216216" style="44" customWidth="1"/>
    <col min="66" max="66" width="18.2522522522523" style="38" hidden="1" customWidth="1"/>
    <col min="67" max="67" width="22.6216216216216" style="38" hidden="1" customWidth="1"/>
    <col min="68" max="68" width="22.6216216216216" style="44" customWidth="1"/>
    <col min="69" max="69" width="24.8738738738739" style="44" customWidth="1"/>
    <col min="70" max="70" width="9.12612612612613" style="44" customWidth="1"/>
    <col min="71" max="71" width="9.12612612612613" style="41" customWidth="1"/>
    <col min="72" max="72" width="8.63063063063063" style="41" customWidth="1"/>
    <col min="73" max="73" width="9.90990990990991" style="40" hidden="1" customWidth="1"/>
    <col min="74" max="74" width="9.90990990990991" style="41" hidden="1" customWidth="1"/>
    <col min="75" max="75" width="9.90990990990991" style="41" customWidth="1"/>
    <col min="76" max="76" width="7.81981981981982" style="42" customWidth="1"/>
    <col min="77" max="78" width="12.2792792792793" style="42" hidden="1" customWidth="1"/>
    <col min="79" max="79" width="5.72072072072072" style="42" hidden="1" customWidth="1"/>
    <col min="80" max="80" width="17" style="42" hidden="1" customWidth="1"/>
    <col min="81" max="81" width="9.37837837837838" style="40" hidden="1" customWidth="1"/>
    <col min="82" max="82" width="8.54054054054054" style="43" customWidth="1"/>
    <col min="83" max="83" width="7.63063063063063" style="41" customWidth="1"/>
    <col min="84" max="84" width="9.90990990990991" style="42" customWidth="1"/>
    <col min="85" max="85" width="9.90990990990991" style="43" customWidth="1"/>
    <col min="86" max="86" width="9.90990990990991" style="41" customWidth="1"/>
    <col min="87" max="87" width="9.90990990990991" style="38" customWidth="1"/>
    <col min="88" max="89" width="8.63063063063063" style="42" customWidth="1"/>
    <col min="90" max="90" width="20.3783783783784" style="40" customWidth="1"/>
    <col min="91" max="91" width="9.90990990990991" style="45" customWidth="1"/>
    <col min="92" max="92" width="9.90990990990991" style="41" customWidth="1"/>
    <col min="93" max="93" width="11.5045045045045" style="40" customWidth="1"/>
    <col min="94" max="94" width="9.90990990990991" style="45" customWidth="1"/>
    <col min="95" max="95" width="9.90990990990991" style="41" customWidth="1"/>
    <col min="96" max="16384" width="9" style="46"/>
  </cols>
  <sheetData>
    <row r="1" s="72" customFormat="1" ht="35" customHeight="1" spans="1:95">
      <c r="A1" s="74" t="str">
        <f>"【途客】"&amp;TEXT($A$4,"yyyy年mm月dd日")&amp;" 途客 达成数据播报"</f>
        <v>【途客】1900年01月00日 途客 达成数据播报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9"/>
      <c r="AS1" s="49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84"/>
      <c r="BS1" s="49"/>
      <c r="BT1" s="49"/>
      <c r="BU1" s="85"/>
      <c r="BV1" s="49"/>
      <c r="BW1" s="49"/>
      <c r="BX1" s="47"/>
      <c r="BY1" s="47"/>
      <c r="BZ1" s="47"/>
      <c r="CA1" s="47"/>
      <c r="CB1" s="47"/>
      <c r="CC1" s="85"/>
      <c r="CD1" s="47"/>
      <c r="CE1" s="49"/>
      <c r="CF1" s="47"/>
      <c r="CG1" s="47"/>
      <c r="CH1" s="49"/>
      <c r="CI1" s="47"/>
      <c r="CJ1" s="47"/>
      <c r="CK1" s="47"/>
      <c r="CL1" s="47"/>
      <c r="CM1" s="86"/>
      <c r="CN1" s="87"/>
      <c r="CO1" s="85"/>
      <c r="CP1" s="86"/>
      <c r="CQ1" s="87"/>
    </row>
    <row r="2" s="72" customFormat="1" customHeight="1" spans="1:95">
      <c r="A2" s="75" t="s">
        <v>0</v>
      </c>
      <c r="B2" s="19" t="s">
        <v>1</v>
      </c>
      <c r="C2" s="19" t="s">
        <v>2</v>
      </c>
      <c r="D2" s="19" t="s">
        <v>3</v>
      </c>
      <c r="E2" s="76" t="s">
        <v>4</v>
      </c>
      <c r="F2" s="19" t="s">
        <v>5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 t="s">
        <v>6</v>
      </c>
      <c r="W2" s="20"/>
      <c r="X2" s="55" t="s">
        <v>7</v>
      </c>
      <c r="Y2" s="26"/>
      <c r="Z2" s="26"/>
      <c r="AA2" s="26"/>
      <c r="AB2" s="27"/>
      <c r="AC2" s="55" t="s">
        <v>8</v>
      </c>
      <c r="AD2" s="26"/>
      <c r="AE2" s="26"/>
      <c r="AF2" s="26"/>
      <c r="AG2" s="27"/>
      <c r="AH2" s="55" t="s">
        <v>9</v>
      </c>
      <c r="AI2" s="26"/>
      <c r="AJ2" s="27"/>
      <c r="AK2" s="55" t="s">
        <v>10</v>
      </c>
      <c r="AL2" s="26"/>
      <c r="AM2" s="27"/>
      <c r="AN2" s="58" t="s">
        <v>11</v>
      </c>
      <c r="AO2" s="28"/>
      <c r="AP2" s="28"/>
      <c r="AQ2" s="28"/>
      <c r="AR2" s="59"/>
      <c r="AS2" s="59"/>
      <c r="AT2" s="56" t="s">
        <v>12</v>
      </c>
      <c r="AU2" s="57"/>
      <c r="AV2" s="19"/>
      <c r="AW2" s="19"/>
      <c r="AX2" s="19"/>
      <c r="AY2" s="19" t="s">
        <v>13</v>
      </c>
      <c r="AZ2" s="19"/>
      <c r="BA2" s="21"/>
      <c r="BB2" s="19"/>
      <c r="BC2" s="58" t="s">
        <v>14</v>
      </c>
      <c r="BD2" s="28"/>
      <c r="BE2" s="28"/>
      <c r="BF2" s="28"/>
      <c r="BG2" s="29"/>
      <c r="BH2" s="60" t="s">
        <v>15</v>
      </c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59"/>
      <c r="BT2" s="62" t="s">
        <v>16</v>
      </c>
      <c r="BU2" s="77"/>
      <c r="BV2" s="54"/>
      <c r="BW2" s="59"/>
      <c r="BX2" s="56" t="s">
        <v>17</v>
      </c>
      <c r="BY2" s="56"/>
      <c r="BZ2" s="56"/>
      <c r="CA2" s="56"/>
      <c r="CB2" s="56"/>
      <c r="CC2" s="53"/>
      <c r="CD2" s="57"/>
      <c r="CE2" s="20"/>
      <c r="CF2" s="56"/>
      <c r="CG2" s="57"/>
      <c r="CH2" s="20"/>
      <c r="CI2" s="19" t="s">
        <v>18</v>
      </c>
      <c r="CJ2" s="56"/>
      <c r="CK2" s="56"/>
      <c r="CL2" s="53" t="s">
        <v>19</v>
      </c>
      <c r="CM2" s="63"/>
      <c r="CN2" s="20"/>
      <c r="CO2" s="53"/>
      <c r="CP2" s="63"/>
      <c r="CQ2" s="20"/>
    </row>
    <row r="3" s="72" customFormat="1" customHeight="1" spans="1:95">
      <c r="A3" s="75"/>
      <c r="B3" s="19"/>
      <c r="C3" s="19"/>
      <c r="D3" s="19"/>
      <c r="E3" s="78"/>
      <c r="F3" s="31" t="s">
        <v>20</v>
      </c>
      <c r="G3" s="31" t="s">
        <v>21</v>
      </c>
      <c r="H3" s="30" t="s">
        <v>22</v>
      </c>
      <c r="I3" s="31" t="s">
        <v>23</v>
      </c>
      <c r="J3" s="31" t="s">
        <v>24</v>
      </c>
      <c r="K3" s="31" t="s">
        <v>25</v>
      </c>
      <c r="L3" s="30" t="s">
        <v>26</v>
      </c>
      <c r="M3" s="31" t="s">
        <v>27</v>
      </c>
      <c r="N3" s="31" t="s">
        <v>28</v>
      </c>
      <c r="O3" s="30" t="s">
        <v>29</v>
      </c>
      <c r="P3" s="31" t="s">
        <v>30</v>
      </c>
      <c r="Q3" s="31" t="s">
        <v>31</v>
      </c>
      <c r="R3" s="30" t="s">
        <v>32</v>
      </c>
      <c r="S3" s="71" t="s">
        <v>33</v>
      </c>
      <c r="T3" s="88" t="s">
        <v>34</v>
      </c>
      <c r="U3" s="89" t="s">
        <v>35</v>
      </c>
      <c r="V3" s="19" t="s">
        <v>36</v>
      </c>
      <c r="W3" s="20" t="s">
        <v>37</v>
      </c>
      <c r="X3" s="82" t="s">
        <v>38</v>
      </c>
      <c r="Y3" s="82" t="s">
        <v>39</v>
      </c>
      <c r="Z3" s="82" t="s">
        <v>40</v>
      </c>
      <c r="AA3" s="30" t="s">
        <v>41</v>
      </c>
      <c r="AB3" s="71" t="s">
        <v>37</v>
      </c>
      <c r="AC3" s="82" t="s">
        <v>42</v>
      </c>
      <c r="AD3" s="56" t="s">
        <v>43</v>
      </c>
      <c r="AE3" s="56" t="s">
        <v>44</v>
      </c>
      <c r="AF3" s="19" t="s">
        <v>41</v>
      </c>
      <c r="AG3" s="20" t="s">
        <v>37</v>
      </c>
      <c r="AH3" s="70" t="s">
        <v>45</v>
      </c>
      <c r="AI3" s="30" t="s">
        <v>41</v>
      </c>
      <c r="AJ3" s="71" t="s">
        <v>37</v>
      </c>
      <c r="AK3" s="82" t="s">
        <v>46</v>
      </c>
      <c r="AL3" s="20" t="s">
        <v>41</v>
      </c>
      <c r="AM3" s="20" t="s">
        <v>37</v>
      </c>
      <c r="AN3" s="31" t="s">
        <v>47</v>
      </c>
      <c r="AO3" s="31" t="s">
        <v>48</v>
      </c>
      <c r="AP3" s="31" t="s">
        <v>49</v>
      </c>
      <c r="AQ3" s="31" t="s">
        <v>41</v>
      </c>
      <c r="AR3" s="71" t="s">
        <v>37</v>
      </c>
      <c r="AS3" s="71" t="s">
        <v>37</v>
      </c>
      <c r="AT3" s="82" t="s">
        <v>50</v>
      </c>
      <c r="AU3" s="57" t="s">
        <v>51</v>
      </c>
      <c r="AV3" s="19" t="s">
        <v>52</v>
      </c>
      <c r="AW3" s="19" t="s">
        <v>53</v>
      </c>
      <c r="AX3" s="19" t="s">
        <v>54</v>
      </c>
      <c r="AY3" s="31" t="s">
        <v>55</v>
      </c>
      <c r="AZ3" s="31" t="s">
        <v>56</v>
      </c>
      <c r="BA3" s="30" t="s">
        <v>41</v>
      </c>
      <c r="BB3" s="31" t="s">
        <v>52</v>
      </c>
      <c r="BC3" s="31" t="s">
        <v>57</v>
      </c>
      <c r="BD3" s="31" t="s">
        <v>58</v>
      </c>
      <c r="BE3" s="31" t="s">
        <v>59</v>
      </c>
      <c r="BF3" s="30" t="s">
        <v>41</v>
      </c>
      <c r="BG3" s="31" t="s">
        <v>37</v>
      </c>
      <c r="BH3" s="19" t="s">
        <v>60</v>
      </c>
      <c r="BI3" s="19" t="s">
        <v>61</v>
      </c>
      <c r="BJ3" s="30" t="s">
        <v>62</v>
      </c>
      <c r="BK3" s="31" t="s">
        <v>63</v>
      </c>
      <c r="BL3" s="31" t="s">
        <v>64</v>
      </c>
      <c r="BM3" s="30" t="s">
        <v>65</v>
      </c>
      <c r="BN3" s="31" t="s">
        <v>66</v>
      </c>
      <c r="BO3" s="31" t="s">
        <v>67</v>
      </c>
      <c r="BP3" s="30" t="s">
        <v>68</v>
      </c>
      <c r="BQ3" s="30" t="s">
        <v>69</v>
      </c>
      <c r="BR3" s="30" t="s">
        <v>41</v>
      </c>
      <c r="BS3" s="71" t="s">
        <v>37</v>
      </c>
      <c r="BT3" s="71" t="s">
        <v>70</v>
      </c>
      <c r="BU3" s="83" t="s">
        <v>71</v>
      </c>
      <c r="BV3" s="71" t="s">
        <v>72</v>
      </c>
      <c r="BW3" s="71" t="s">
        <v>73</v>
      </c>
      <c r="BX3" s="56" t="s">
        <v>45</v>
      </c>
      <c r="BY3" s="56" t="s">
        <v>74</v>
      </c>
      <c r="BZ3" s="56" t="s">
        <v>75</v>
      </c>
      <c r="CA3" s="56" t="s">
        <v>76</v>
      </c>
      <c r="CB3" s="56" t="s">
        <v>77</v>
      </c>
      <c r="CC3" s="53" t="s">
        <v>78</v>
      </c>
      <c r="CD3" s="57" t="s">
        <v>41</v>
      </c>
      <c r="CE3" s="20" t="s">
        <v>37</v>
      </c>
      <c r="CF3" s="56" t="s">
        <v>79</v>
      </c>
      <c r="CG3" s="57" t="s">
        <v>80</v>
      </c>
      <c r="CH3" s="20" t="s">
        <v>73</v>
      </c>
      <c r="CI3" s="31" t="s">
        <v>81</v>
      </c>
      <c r="CJ3" s="70" t="s">
        <v>82</v>
      </c>
      <c r="CK3" s="70" t="s">
        <v>52</v>
      </c>
      <c r="CL3" s="53" t="s">
        <v>83</v>
      </c>
      <c r="CM3" s="63" t="s">
        <v>41</v>
      </c>
      <c r="CN3" s="20" t="s">
        <v>37</v>
      </c>
      <c r="CO3" s="53" t="s">
        <v>84</v>
      </c>
      <c r="CP3" s="63" t="s">
        <v>41</v>
      </c>
      <c r="CQ3" s="20" t="s">
        <v>37</v>
      </c>
    </row>
  </sheetData>
  <mergeCells count="21">
    <mergeCell ref="A1:CQ1"/>
    <mergeCell ref="F2:U2"/>
    <mergeCell ref="V2:W2"/>
    <mergeCell ref="X2:AB2"/>
    <mergeCell ref="AC2:AG2"/>
    <mergeCell ref="AH2:AJ2"/>
    <mergeCell ref="AK2:AM2"/>
    <mergeCell ref="AN2:AS2"/>
    <mergeCell ref="AT2:AX2"/>
    <mergeCell ref="AY2:BB2"/>
    <mergeCell ref="BC2:BG2"/>
    <mergeCell ref="BH2:BS2"/>
    <mergeCell ref="BT2:BW2"/>
    <mergeCell ref="BX2:CH2"/>
    <mergeCell ref="CI2:CK2"/>
    <mergeCell ref="CL2:CQ2"/>
    <mergeCell ref="A2:A3"/>
    <mergeCell ref="B2:B3"/>
    <mergeCell ref="C2:C3"/>
    <mergeCell ref="D2:D3"/>
    <mergeCell ref="E2:E3"/>
  </mergeCells>
  <conditionalFormatting sqref="V4:V104857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A1048576">
    <cfRule type="cellIs" dxfId="0" priority="27" operator="lessThan">
      <formula>IF($B4="广州",配置!$C$2,IF($B4="深圳",配置!$I$2,IF($B4="上海",配置!$O$2,配置!$U$2)))</formula>
    </cfRule>
    <cfRule type="cellIs" dxfId="1" priority="28" operator="lessThan">
      <formula>IF($B4="广州",配置!$D$2,IF($B4="深圳",配置!$J$2,IF($B4="上海",配置!$P$2,配置!$V$2)))</formula>
    </cfRule>
    <cfRule type="cellIs" dxfId="2" priority="29" operator="lessThan">
      <formula>IF($B4="广州",配置!$E$2,IF($B4="深圳",配置!$K$2,IF($B4="上海",配置!$Q$2,配置!$W$2)))</formula>
    </cfRule>
  </conditionalFormatting>
  <conditionalFormatting sqref="AF4:AF1048576">
    <cfRule type="cellIs" dxfId="0" priority="24" operator="greaterThan">
      <formula>IF($B4="广州",配置!$C$3,IF($B4="深圳",配置!$I$3,IF($B4="上海",配置!$O$3,配置!$U$3)))</formula>
    </cfRule>
    <cfRule type="cellIs" dxfId="1" priority="25" operator="greaterThan">
      <formula>IF($B4="广州",配置!$D$3,IF($B4="深圳",配置!$J$3,IF($B4="上海",配置!$P$3,配置!$V$3)))</formula>
    </cfRule>
    <cfRule type="cellIs" dxfId="2" priority="26" operator="greaterThan">
      <formula>IF($B4="广州",配置!$E$3,IF($B4="深圳",配置!$K$3,IF($B4="上海",配置!$Q$3,配置!$W$3)))</formula>
    </cfRule>
  </conditionalFormatting>
  <conditionalFormatting sqref="AI4:AI1048576">
    <cfRule type="cellIs" dxfId="0" priority="21" operator="greaterThan">
      <formula>IF($B4="广州",配置!$C$4,IF($B4="深圳",配置!$I$4,IF($B4="上海",配置!$O$4,配置!$U$4)))</formula>
    </cfRule>
    <cfRule type="cellIs" dxfId="1" priority="22" operator="greaterThan">
      <formula>IF($B4="广州",配置!$D$4,IF($B4="深圳",配置!$J$4,IF($B4="上海",配置!$P$4,配置!$V$4)))</formula>
    </cfRule>
    <cfRule type="cellIs" dxfId="2" priority="23" operator="greaterThan">
      <formula>IF($B4="广州",配置!$E$4,IF($B4="深圳",配置!$K$4,IF($B4="上海",配置!$Q$4,配置!$W$4)))</formula>
    </cfRule>
  </conditionalFormatting>
  <conditionalFormatting sqref="AL4:AL1048576">
    <cfRule type="cellIs" dxfId="0" priority="18" operator="greaterThan">
      <formula>IF($B4="广州",配置!$C$5,IF($B4="深圳",配置!$I$5,IF($B4="上海",配置!$O$5,配置!$U$5)))</formula>
    </cfRule>
    <cfRule type="cellIs" dxfId="1" priority="19" operator="greaterThan">
      <formula>IF($B4="广州",配置!$D$5,IF($B4="深圳",配置!$J$5,IF($B4="上海",配置!$P$5,配置!$V$5)))</formula>
    </cfRule>
    <cfRule type="cellIs" dxfId="2" priority="20" operator="greaterThan">
      <formula>IF($B4="广州",配置!$E$5,IF($B4="深圳",配置!$K$5,IF($B4="上海",配置!$Q$5,配置!$W$5)))</formula>
    </cfRule>
  </conditionalFormatting>
  <conditionalFormatting sqref="AQ4:AQ1048576">
    <cfRule type="cellIs" dxfId="0" priority="15" operator="lessThan">
      <formula>IF($B4="广州",配置!$C$6,IF($B4="深圳",配置!$I$6,IF($B4="上海",配置!$O$6,配置!$U$6)))</formula>
    </cfRule>
    <cfRule type="cellIs" dxfId="1" priority="16" operator="lessThan">
      <formula>IF($B4="广州",配置!$D$6,IF($B4="深圳",配置!$J$6,IF($B4="上海",配置!$P$6,配置!$V$6)))</formula>
    </cfRule>
    <cfRule type="cellIs" dxfId="2" priority="17" operator="lessThan">
      <formula>IF($B4="广州",配置!$E$6,IF($B4="深圳",配置!$K$6,IF($B4="上海",配置!$Q$6,配置!$W$6)))</formula>
    </cfRule>
  </conditionalFormatting>
  <conditionalFormatting sqref="AS$1:AS$1048576">
    <cfRule type="cellIs" dxfId="3" priority="1" operator="lessThan">
      <formula>0</formula>
    </cfRule>
  </conditionalFormatting>
  <conditionalFormatting sqref="AV4:AV1048576">
    <cfRule type="cellIs" dxfId="3" priority="14" operator="lessThan">
      <formula>0</formula>
    </cfRule>
  </conditionalFormatting>
  <conditionalFormatting sqref="BC$1:BC$1048576">
    <cfRule type="cellIs" dxfId="3" priority="3" operator="equal">
      <formula>"恶劣天气"</formula>
    </cfRule>
  </conditionalFormatting>
  <conditionalFormatting sqref="BP4:BP1048576">
    <cfRule type="cellIs" dxfId="3" priority="10" operator="lessThan">
      <formula>0.9</formula>
    </cfRule>
  </conditionalFormatting>
  <conditionalFormatting sqref="CI4:CI1048576">
    <cfRule type="cellIs" dxfId="3" priority="36" operator="equal">
      <formula>"否"</formula>
    </cfRule>
  </conditionalFormatting>
  <conditionalFormatting sqref="CK4:CK1048576">
    <cfRule type="cellIs" dxfId="3" priority="38" operator="lessThan">
      <formula>0</formula>
    </cfRule>
  </conditionalFormatting>
  <conditionalFormatting sqref="CN$1:CN$1048576">
    <cfRule type="cellIs" dxfId="3" priority="4" operator="lessThan">
      <formula>-0.000001</formula>
    </cfRule>
  </conditionalFormatting>
  <conditionalFormatting sqref="CQ4:CQ1048576">
    <cfRule type="cellIs" dxfId="3" priority="5" operator="lessThan">
      <formula>1</formula>
    </cfRule>
    <cfRule type="cellIs" dxfId="3" priority="6" operator="lessThan">
      <formula>1</formula>
    </cfRule>
  </conditionalFormatting>
  <conditionalFormatting sqref="BW$1:BW$1048576 BT$1:BT$1048576">
    <cfRule type="cellIs" dxfId="3" priority="2" operator="lessThan">
      <formula>0</formula>
    </cfRule>
  </conditionalFormatting>
  <conditionalFormatting sqref="AX4:AX1048576 CK4:CK1048576 CH4:CH1048576 CE4:CE1048576 BW4:BW1048576 BG4:BG1048576 BS4:BT1048576 BB4:BC1048576">
    <cfRule type="cellIs" dxfId="3" priority="37" operator="lessThan">
      <formula>0</formula>
    </cfRule>
  </conditionalFormatting>
  <conditionalFormatting sqref="BJ4:BJ1048576 BM4:BM1048576">
    <cfRule type="cellIs" dxfId="3" priority="9" operator="lessThan">
      <formula>0.9</formula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" id="{0584c46c-4b16-4d6c-b5ee-666872c7dd4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R4:R1048576 L4:L1048576 U4:U1048576 O4:O1048576 H4:H1048576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W3"/>
  <sheetViews>
    <sheetView workbookViewId="0">
      <pane xSplit="5" ySplit="3" topLeftCell="AF4" activePane="bottomRight" state="frozen"/>
      <selection/>
      <selection pane="topRight"/>
      <selection pane="bottomLeft"/>
      <selection pane="bottomRight" activeCell="AR3" sqref="AR$1:AR$1048576"/>
    </sheetView>
  </sheetViews>
  <sheetFormatPr defaultColWidth="9" defaultRowHeight="25" customHeight="1" outlineLevelRow="2"/>
  <cols>
    <col min="1" max="1" width="17.8738738738739" style="73" customWidth="1"/>
    <col min="2" max="2" width="8.09009009009009" style="38" hidden="1" customWidth="1"/>
    <col min="3" max="3" width="14.3783783783784" style="38" hidden="1" customWidth="1"/>
    <col min="4" max="4" width="14" style="38" hidden="1" customWidth="1"/>
    <col min="5" max="5" width="14" style="73" hidden="1" customWidth="1"/>
    <col min="6" max="6" width="14.6306306306306" style="38" customWidth="1"/>
    <col min="7" max="7" width="9.90990990990991" style="38" hidden="1" customWidth="1"/>
    <col min="8" max="8" width="13.0900900900901" style="44" hidden="1" customWidth="1"/>
    <col min="9" max="9" width="7.81981981981982" style="38" customWidth="1"/>
    <col min="10" max="10" width="11.3693693693694" style="38" customWidth="1"/>
    <col min="11" max="11" width="12.2792792792793" style="38" customWidth="1"/>
    <col min="12" max="12" width="12.2792792792793" style="44" customWidth="1"/>
    <col min="13" max="13" width="9.90990990990991" style="38" customWidth="1"/>
    <col min="14" max="14" width="15.9099099099099" style="38" customWidth="1"/>
    <col min="15" max="15" width="15.9099099099099" style="44" customWidth="1"/>
    <col min="16" max="17" width="15.9099099099099" style="38" hidden="1" customWidth="1"/>
    <col min="18" max="18" width="15.9099099099099" style="44" hidden="1" customWidth="1"/>
    <col min="19" max="20" width="11.1801801801802" style="41" customWidth="1"/>
    <col min="21" max="21" width="11.1801801801802" style="44" customWidth="1"/>
    <col min="22" max="22" width="7.18018018018018" style="38" customWidth="1"/>
    <col min="23" max="23" width="9.54054054054054" style="41" customWidth="1"/>
    <col min="24" max="24" width="7.81981981981982" style="42" hidden="1" customWidth="1"/>
    <col min="25" max="25" width="9.90990990990991" style="42" hidden="1" customWidth="1"/>
    <col min="26" max="26" width="12.2792792792793" style="42" hidden="1" customWidth="1"/>
    <col min="27" max="27" width="9.63063063063063" style="12" customWidth="1"/>
    <col min="28" max="28" width="8.63063063063063" style="41" customWidth="1"/>
    <col min="29" max="29" width="12.4594594594595" style="42" hidden="1" customWidth="1"/>
    <col min="30" max="30" width="12.4594594594595" style="42" customWidth="1"/>
    <col min="31" max="31" width="12.3693693693694" style="42" customWidth="1"/>
    <col min="32" max="32" width="9.63063063063063" style="12" customWidth="1"/>
    <col min="33" max="33" width="8.63063063063063" style="41" customWidth="1"/>
    <col min="34" max="34" width="7.81981981981982" style="42" customWidth="1"/>
    <col min="35" max="35" width="9.63063063063063" style="12" customWidth="1"/>
    <col min="36" max="36" width="8.63063063063063" style="41" customWidth="1"/>
    <col min="37" max="37" width="7.81981981981982" style="42" customWidth="1"/>
    <col min="38" max="38" width="9.63063063063063" style="12" customWidth="1"/>
    <col min="39" max="39" width="8.63063063063063" style="41" customWidth="1"/>
    <col min="40" max="42" width="8.63063063063063" style="38" customWidth="1"/>
    <col min="43" max="43" width="9.63063063063063" style="12" customWidth="1"/>
    <col min="44" max="45" width="8.63063063063063" style="41" customWidth="1"/>
    <col min="46" max="46" width="9.90990990990991" style="42" hidden="1" customWidth="1"/>
    <col min="47" max="47" width="8.63063063063063" style="43" customWidth="1"/>
    <col min="48" max="48" width="8.63063063063063" style="38" customWidth="1"/>
    <col min="49" max="49" width="17" style="38" hidden="1" customWidth="1"/>
    <col min="50" max="50" width="9.90990990990991" style="38" customWidth="1"/>
    <col min="51" max="51" width="24.0900900900901" style="38" hidden="1" customWidth="1"/>
    <col min="52" max="52" width="17" style="38" hidden="1" customWidth="1"/>
    <col min="53" max="53" width="8.63063063063063" style="44" customWidth="1"/>
    <col min="54" max="54" width="8.63063063063063" style="38" customWidth="1"/>
    <col min="55" max="55" width="12.1261261261261" style="38" hidden="1" customWidth="1"/>
    <col min="56" max="56" width="26.3693693693694" style="38" hidden="1" customWidth="1"/>
    <col min="57" max="57" width="14.6306306306306" style="38" hidden="1" customWidth="1"/>
    <col min="58" max="58" width="8.63063063063063" style="44" customWidth="1"/>
    <col min="59" max="59" width="8.63063063063063" style="38" customWidth="1"/>
    <col min="60" max="60" width="16" style="38" hidden="1" customWidth="1"/>
    <col min="61" max="61" width="20.3783783783784" style="38" hidden="1" customWidth="1"/>
    <col min="62" max="62" width="20.3783783783784" style="44" customWidth="1"/>
    <col min="63" max="63" width="18.2522522522523" style="38" hidden="1" customWidth="1"/>
    <col min="64" max="64" width="22.6216216216216" style="38" hidden="1" customWidth="1"/>
    <col min="65" max="65" width="22.6216216216216" style="44" customWidth="1"/>
    <col min="66" max="66" width="18.2522522522523" style="38" hidden="1" customWidth="1"/>
    <col min="67" max="67" width="22.6216216216216" style="38" hidden="1" customWidth="1"/>
    <col min="68" max="68" width="22.6216216216216" style="44" customWidth="1"/>
    <col min="69" max="69" width="24.8738738738739" style="44" customWidth="1"/>
    <col min="70" max="70" width="9.12612612612613" style="44" customWidth="1"/>
    <col min="71" max="71" width="9.12612612612613" style="41" customWidth="1"/>
    <col min="72" max="72" width="8.63063063063063" style="41" customWidth="1"/>
    <col min="73" max="73" width="9.90990990990991" style="40" hidden="1" customWidth="1"/>
    <col min="74" max="74" width="9.90990990990991" style="41" hidden="1" customWidth="1"/>
    <col min="75" max="75" width="9.90990990990991" style="41" customWidth="1"/>
    <col min="76" max="16384" width="9" style="46"/>
  </cols>
  <sheetData>
    <row r="1" s="72" customFormat="1" ht="35" customHeight="1" spans="1:75">
      <c r="A1" s="74" t="str">
        <f>"【途客】"&amp;TEXT($A$4,"yyyy年mm月dd日")&amp;" 途客 达成数据播报"</f>
        <v>【途客】1900年01月00日 途客 达成数据播报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9"/>
      <c r="AS1" s="49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</row>
    <row r="2" s="72" customFormat="1" customHeight="1" spans="1:75">
      <c r="A2" s="75" t="s">
        <v>2</v>
      </c>
      <c r="B2" s="19" t="s">
        <v>1</v>
      </c>
      <c r="C2" s="19" t="s">
        <v>2</v>
      </c>
      <c r="D2" s="19" t="s">
        <v>3</v>
      </c>
      <c r="E2" s="76" t="s">
        <v>4</v>
      </c>
      <c r="F2" s="28" t="s">
        <v>24</v>
      </c>
      <c r="G2" s="28"/>
      <c r="H2" s="28"/>
      <c r="I2" s="28"/>
      <c r="J2" s="28"/>
      <c r="K2" s="28"/>
      <c r="L2" s="29"/>
      <c r="M2" s="58" t="s">
        <v>27</v>
      </c>
      <c r="N2" s="28"/>
      <c r="O2" s="29"/>
      <c r="P2" s="58" t="s">
        <v>85</v>
      </c>
      <c r="Q2" s="28"/>
      <c r="R2" s="29"/>
      <c r="S2" s="58" t="s">
        <v>33</v>
      </c>
      <c r="T2" s="28"/>
      <c r="U2" s="29"/>
      <c r="V2" s="19" t="s">
        <v>6</v>
      </c>
      <c r="W2" s="20"/>
      <c r="X2" s="55" t="s">
        <v>7</v>
      </c>
      <c r="Y2" s="26"/>
      <c r="Z2" s="26"/>
      <c r="AA2" s="26"/>
      <c r="AB2" s="27"/>
      <c r="AC2" s="55" t="s">
        <v>8</v>
      </c>
      <c r="AD2" s="26"/>
      <c r="AE2" s="26"/>
      <c r="AF2" s="26"/>
      <c r="AG2" s="27"/>
      <c r="AH2" s="55" t="s">
        <v>9</v>
      </c>
      <c r="AI2" s="26"/>
      <c r="AJ2" s="27"/>
      <c r="AK2" s="55" t="s">
        <v>10</v>
      </c>
      <c r="AL2" s="26"/>
      <c r="AM2" s="27"/>
      <c r="AN2" s="58" t="s">
        <v>11</v>
      </c>
      <c r="AO2" s="28"/>
      <c r="AP2" s="28"/>
      <c r="AQ2" s="28"/>
      <c r="AR2" s="59"/>
      <c r="AS2" s="59"/>
      <c r="AT2" s="56" t="s">
        <v>12</v>
      </c>
      <c r="AU2" s="57"/>
      <c r="AV2" s="19"/>
      <c r="AW2" s="19"/>
      <c r="AX2" s="19"/>
      <c r="AY2" s="19" t="s">
        <v>13</v>
      </c>
      <c r="AZ2" s="19"/>
      <c r="BA2" s="21"/>
      <c r="BB2" s="19"/>
      <c r="BC2" s="58" t="s">
        <v>14</v>
      </c>
      <c r="BD2" s="28"/>
      <c r="BE2" s="28"/>
      <c r="BF2" s="28"/>
      <c r="BG2" s="29"/>
      <c r="BH2" s="60" t="s">
        <v>15</v>
      </c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59"/>
      <c r="BT2" s="62" t="s">
        <v>16</v>
      </c>
      <c r="BU2" s="77"/>
      <c r="BV2" s="54"/>
      <c r="BW2" s="59"/>
    </row>
    <row r="3" s="72" customFormat="1" customHeight="1" spans="1:75">
      <c r="A3" s="75"/>
      <c r="B3" s="19"/>
      <c r="C3" s="19"/>
      <c r="D3" s="19"/>
      <c r="E3" s="78"/>
      <c r="F3" s="79" t="s">
        <v>20</v>
      </c>
      <c r="G3" s="66" t="s">
        <v>21</v>
      </c>
      <c r="H3" s="80" t="s">
        <v>22</v>
      </c>
      <c r="I3" s="66" t="s">
        <v>23</v>
      </c>
      <c r="J3" s="81">
        <f>$E$4</f>
        <v>0</v>
      </c>
      <c r="K3" s="81">
        <f>$J$3-1</f>
        <v>-1</v>
      </c>
      <c r="L3" s="80" t="s">
        <v>86</v>
      </c>
      <c r="M3" s="81">
        <f>$J$3</f>
        <v>0</v>
      </c>
      <c r="N3" s="81">
        <f>$J$3-1</f>
        <v>-1</v>
      </c>
      <c r="O3" s="80" t="s">
        <v>86</v>
      </c>
      <c r="P3" s="81">
        <f>$J$3</f>
        <v>0</v>
      </c>
      <c r="Q3" s="81">
        <f>$J$3-1</f>
        <v>-1</v>
      </c>
      <c r="R3" s="80" t="s">
        <v>86</v>
      </c>
      <c r="S3" s="81">
        <f>$J$3</f>
        <v>0</v>
      </c>
      <c r="T3" s="81">
        <f>$J$3-1</f>
        <v>-1</v>
      </c>
      <c r="U3" s="80" t="s">
        <v>86</v>
      </c>
      <c r="V3" s="19" t="s">
        <v>36</v>
      </c>
      <c r="W3" s="20" t="s">
        <v>37</v>
      </c>
      <c r="X3" s="82" t="s">
        <v>38</v>
      </c>
      <c r="Y3" s="82" t="s">
        <v>39</v>
      </c>
      <c r="Z3" s="82" t="s">
        <v>40</v>
      </c>
      <c r="AA3" s="30" t="s">
        <v>41</v>
      </c>
      <c r="AB3" s="71" t="s">
        <v>37</v>
      </c>
      <c r="AC3" s="82" t="s">
        <v>42</v>
      </c>
      <c r="AD3" s="56" t="s">
        <v>43</v>
      </c>
      <c r="AE3" s="56" t="s">
        <v>44</v>
      </c>
      <c r="AF3" s="19" t="s">
        <v>41</v>
      </c>
      <c r="AG3" s="20" t="s">
        <v>37</v>
      </c>
      <c r="AH3" s="70" t="s">
        <v>45</v>
      </c>
      <c r="AI3" s="30" t="s">
        <v>41</v>
      </c>
      <c r="AJ3" s="71" t="s">
        <v>37</v>
      </c>
      <c r="AK3" s="56" t="s">
        <v>46</v>
      </c>
      <c r="AL3" s="20" t="s">
        <v>41</v>
      </c>
      <c r="AM3" s="20" t="s">
        <v>37</v>
      </c>
      <c r="AN3" s="31" t="s">
        <v>47</v>
      </c>
      <c r="AO3" s="31" t="s">
        <v>48</v>
      </c>
      <c r="AP3" s="31" t="s">
        <v>49</v>
      </c>
      <c r="AQ3" s="31" t="s">
        <v>41</v>
      </c>
      <c r="AR3" s="71" t="s">
        <v>37</v>
      </c>
      <c r="AS3" s="71" t="s">
        <v>52</v>
      </c>
      <c r="AT3" s="82" t="s">
        <v>50</v>
      </c>
      <c r="AU3" s="57" t="s">
        <v>51</v>
      </c>
      <c r="AV3" s="19" t="s">
        <v>52</v>
      </c>
      <c r="AW3" s="19" t="s">
        <v>53</v>
      </c>
      <c r="AX3" s="19" t="s">
        <v>54</v>
      </c>
      <c r="AY3" s="31" t="s">
        <v>55</v>
      </c>
      <c r="AZ3" s="31" t="s">
        <v>56</v>
      </c>
      <c r="BA3" s="30" t="s">
        <v>41</v>
      </c>
      <c r="BB3" s="31" t="s">
        <v>52</v>
      </c>
      <c r="BC3" s="31" t="s">
        <v>57</v>
      </c>
      <c r="BD3" s="31" t="s">
        <v>58</v>
      </c>
      <c r="BE3" s="31" t="s">
        <v>59</v>
      </c>
      <c r="BF3" s="30" t="s">
        <v>41</v>
      </c>
      <c r="BG3" s="31" t="s">
        <v>37</v>
      </c>
      <c r="BH3" s="19" t="s">
        <v>60</v>
      </c>
      <c r="BI3" s="19" t="s">
        <v>61</v>
      </c>
      <c r="BJ3" s="30" t="s">
        <v>62</v>
      </c>
      <c r="BK3" s="31" t="s">
        <v>63</v>
      </c>
      <c r="BL3" s="31" t="s">
        <v>64</v>
      </c>
      <c r="BM3" s="30" t="s">
        <v>65</v>
      </c>
      <c r="BN3" s="31" t="s">
        <v>66</v>
      </c>
      <c r="BO3" s="31" t="s">
        <v>67</v>
      </c>
      <c r="BP3" s="30" t="s">
        <v>68</v>
      </c>
      <c r="BQ3" s="30" t="s">
        <v>69</v>
      </c>
      <c r="BR3" s="30" t="s">
        <v>41</v>
      </c>
      <c r="BS3" s="71" t="s">
        <v>37</v>
      </c>
      <c r="BT3" s="71" t="s">
        <v>70</v>
      </c>
      <c r="BU3" s="83" t="s">
        <v>71</v>
      </c>
      <c r="BV3" s="71" t="s">
        <v>72</v>
      </c>
      <c r="BW3" s="71" t="s">
        <v>73</v>
      </c>
    </row>
  </sheetData>
  <mergeCells count="21">
    <mergeCell ref="A1:BW1"/>
    <mergeCell ref="F2:L2"/>
    <mergeCell ref="M2:O2"/>
    <mergeCell ref="P2:R2"/>
    <mergeCell ref="S2:U2"/>
    <mergeCell ref="V2:W2"/>
    <mergeCell ref="X2:AB2"/>
    <mergeCell ref="AC2:AG2"/>
    <mergeCell ref="AH2:AJ2"/>
    <mergeCell ref="AK2:AM2"/>
    <mergeCell ref="AN2:AS2"/>
    <mergeCell ref="AT2:AX2"/>
    <mergeCell ref="AY2:BB2"/>
    <mergeCell ref="BC2:BG2"/>
    <mergeCell ref="BH2:BS2"/>
    <mergeCell ref="BT2:BW2"/>
    <mergeCell ref="A2:A3"/>
    <mergeCell ref="B2:B3"/>
    <mergeCell ref="C2:C3"/>
    <mergeCell ref="D2:D3"/>
    <mergeCell ref="E2:E3"/>
  </mergeCells>
  <conditionalFormatting sqref="V4:V1048576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A1048576">
    <cfRule type="cellIs" dxfId="0" priority="34" operator="lessThan">
      <formula>IF($B4="广州",配置!$C$2,IF($B4="深圳",配置!$I$2,IF($B4="上海",配置!$O$2,配置!$U$2)))</formula>
    </cfRule>
    <cfRule type="cellIs" dxfId="1" priority="35" operator="lessThan">
      <formula>IF($B4="广州",配置!$D$2,IF($B4="深圳",配置!$J$2,IF($B4="上海",配置!$P$2,配置!$V$2)))</formula>
    </cfRule>
    <cfRule type="cellIs" dxfId="2" priority="36" operator="lessThan">
      <formula>IF($B4="广州",配置!$E$2,IF($B4="深圳",配置!$K$2,IF($B4="上海",配置!$Q$2,配置!$W$2)))</formula>
    </cfRule>
  </conditionalFormatting>
  <conditionalFormatting sqref="AF4:AF1048576">
    <cfRule type="cellIs" dxfId="0" priority="31" operator="greaterThan">
      <formula>IF($B4="广州",配置!$C$3,IF($B4="深圳",配置!$I$3,IF($B4="上海",配置!$O$3,配置!$U$3)))</formula>
    </cfRule>
    <cfRule type="cellIs" dxfId="1" priority="32" operator="greaterThan">
      <formula>IF($B4="广州",配置!$D$3,IF($B4="深圳",配置!$J$3,IF($B4="上海",配置!$P$3,配置!$V$3)))</formula>
    </cfRule>
    <cfRule type="cellIs" dxfId="2" priority="33" operator="greaterThan">
      <formula>IF($B4="广州",配置!$E$3,IF($B4="深圳",配置!$K$3,IF($B4="上海",配置!$Q$3,配置!$W$3)))</formula>
    </cfRule>
  </conditionalFormatting>
  <conditionalFormatting sqref="AI4:AI1048576">
    <cfRule type="cellIs" dxfId="0" priority="28" operator="greaterThan">
      <formula>IF($B4="广州",配置!$C$4,IF($B4="深圳",配置!$I$4,IF($B4="上海",配置!$O$4,配置!$U$4)))</formula>
    </cfRule>
    <cfRule type="cellIs" dxfId="1" priority="29" operator="greaterThan">
      <formula>IF($B4="广州",配置!$D$4,IF($B4="深圳",配置!$J$4,IF($B4="上海",配置!$P$4,配置!$V$4)))</formula>
    </cfRule>
    <cfRule type="cellIs" dxfId="2" priority="30" operator="greaterThan">
      <formula>IF($B4="广州",配置!$E$4,IF($B4="深圳",配置!$K$4,IF($B4="上海",配置!$Q$4,配置!$W$4)))</formula>
    </cfRule>
  </conditionalFormatting>
  <conditionalFormatting sqref="AL4:AL1048576">
    <cfRule type="cellIs" dxfId="0" priority="25" operator="greaterThan">
      <formula>IF($B4="广州",配置!$C$5,IF($B4="深圳",配置!$I$5,IF($B4="上海",配置!$O$5,配置!$U$5)))</formula>
    </cfRule>
    <cfRule type="cellIs" dxfId="1" priority="26" operator="greaterThan">
      <formula>IF($B4="广州",配置!$D$5,IF($B4="深圳",配置!$J$5,IF($B4="上海",配置!$P$5,配置!$V$5)))</formula>
    </cfRule>
    <cfRule type="cellIs" dxfId="2" priority="27" operator="greaterThan">
      <formula>IF($B4="广州",配置!$E$5,IF($B4="深圳",配置!$K$5,IF($B4="上海",配置!$Q$5,配置!$W$5)))</formula>
    </cfRule>
  </conditionalFormatting>
  <conditionalFormatting sqref="AQ4:AQ1048576">
    <cfRule type="cellIs" dxfId="0" priority="7" operator="lessThan">
      <formula>IF($B4="广州",配置!$C$6,IF($B4="深圳",配置!$I$6,IF($B4="上海",配置!$O$6,配置!$U$6)))</formula>
    </cfRule>
    <cfRule type="cellIs" dxfId="1" priority="8" operator="lessThan">
      <formula>IF($B4="广州",配置!$D$6,IF($B4="深圳",配置!$J$6,IF($B4="上海",配置!$P$6,配置!$V$6)))</formula>
    </cfRule>
    <cfRule type="cellIs" dxfId="2" priority="9" operator="lessThan">
      <formula>IF($B4="广州",配置!$E$6,IF($B4="深圳",配置!$K$6,IF($B4="上海",配置!$Q$6,配置!$W$6)))</formula>
    </cfRule>
  </conditionalFormatting>
  <conditionalFormatting sqref="AS$1:AS$1048576">
    <cfRule type="cellIs" dxfId="3" priority="1" operator="lessThan">
      <formula>0</formula>
    </cfRule>
  </conditionalFormatting>
  <conditionalFormatting sqref="AV4:AV1048576">
    <cfRule type="cellIs" dxfId="3" priority="6" operator="lessThan">
      <formula>0</formula>
    </cfRule>
  </conditionalFormatting>
  <conditionalFormatting sqref="BC2:BC1048576">
    <cfRule type="cellIs" dxfId="3" priority="3" operator="equal">
      <formula>"恶劣天气"</formula>
    </cfRule>
  </conditionalFormatting>
  <conditionalFormatting sqref="BP4:BP1048576">
    <cfRule type="cellIs" dxfId="3" priority="5" operator="lessThan">
      <formula>0.9</formula>
    </cfRule>
  </conditionalFormatting>
  <conditionalFormatting sqref="BW2:BW1048576 BT2:BT1048576">
    <cfRule type="cellIs" dxfId="3" priority="2" operator="lessThan">
      <formula>0</formula>
    </cfRule>
  </conditionalFormatting>
  <conditionalFormatting sqref="AX4:AX1048576 BW4:BW1048576 BG4:BG1048576 BS4:BT1048576 BB4:BC1048576">
    <cfRule type="cellIs" dxfId="3" priority="10" operator="lessThan">
      <formula>0</formula>
    </cfRule>
  </conditionalFormatting>
  <conditionalFormatting sqref="BJ4:BJ1048576 BM4:BM1048576">
    <cfRule type="cellIs" dxfId="3" priority="4" operator="lessThan">
      <formula>0.9</formula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8" id="{56ae024a-c4ab-4db7-a1e8-87ada77838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R4:R1048576 L4:L1048576 U4:U1048576 O4:O1048576 H4:H1048576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BY3"/>
  <sheetViews>
    <sheetView tabSelected="1" workbookViewId="0">
      <pane xSplit="3" ySplit="3" topLeftCell="BK4" activePane="bottomRight" state="frozen"/>
      <selection/>
      <selection pane="topRight"/>
      <selection pane="bottomLeft"/>
      <selection pane="bottomRight" activeCell="BV6" sqref="BV6"/>
    </sheetView>
  </sheetViews>
  <sheetFormatPr defaultColWidth="9" defaultRowHeight="25" customHeight="1" outlineLevelRow="2"/>
  <cols>
    <col min="1" max="1" width="8.09009009009009" style="38" customWidth="1"/>
    <col min="2" max="2" width="9.54054054054054" style="38" customWidth="1"/>
    <col min="3" max="3" width="14" style="38" customWidth="1"/>
    <col min="4" max="4" width="14.981981981982" style="39" customWidth="1"/>
    <col min="5" max="5" width="14" style="38" customWidth="1"/>
    <col min="6" max="6" width="7.81981981981982" style="38" customWidth="1"/>
    <col min="7" max="7" width="11.3693693693694" style="38" customWidth="1"/>
    <col min="8" max="8" width="12.2792792792793" style="40" customWidth="1"/>
    <col min="9" max="9" width="9.90990990990991" style="38" customWidth="1"/>
    <col min="10" max="13" width="10.2522522522523" style="38" customWidth="1"/>
    <col min="14" max="14" width="10.2522522522523" style="41" customWidth="1"/>
    <col min="15" max="15" width="7.18018018018018" style="38" customWidth="1"/>
    <col min="16" max="16" width="9.54054054054054" style="41" customWidth="1"/>
    <col min="17" max="17" width="7.81981981981982" style="42" customWidth="1"/>
    <col min="18" max="18" width="9.90990990990991" style="42" customWidth="1"/>
    <col min="19" max="19" width="12.2792792792793" style="42" customWidth="1"/>
    <col min="20" max="20" width="9.63063063063063" style="12" customWidth="1"/>
    <col min="21" max="21" width="8.63063063063063" style="41" customWidth="1"/>
    <col min="22" max="23" width="12.4594594594595" style="42" customWidth="1"/>
    <col min="24" max="24" width="12.3693693693694" style="42" customWidth="1"/>
    <col min="25" max="25" width="9.63063063063063" style="12" customWidth="1"/>
    <col min="26" max="26" width="8.63063063063063" style="41" customWidth="1"/>
    <col min="27" max="27" width="7.81981981981982" style="42" customWidth="1"/>
    <col min="28" max="28" width="9.63063063063063" style="12" customWidth="1"/>
    <col min="29" max="29" width="8.63063063063063" style="41" customWidth="1"/>
    <col min="30" max="30" width="7.81981981981982" style="42" customWidth="1"/>
    <col min="31" max="32" width="12.2792792792793" style="42" customWidth="1"/>
    <col min="33" max="33" width="5.72072072072072" style="42" customWidth="1"/>
    <col min="34" max="34" width="17" style="42" customWidth="1"/>
    <col min="35" max="35" width="9.37837837837838" style="40" customWidth="1"/>
    <col min="36" max="36" width="8.54054054054054" style="43" customWidth="1"/>
    <col min="37" max="37" width="7.63063063063063" style="41" customWidth="1"/>
    <col min="38" max="38" width="7.81981981981982" style="42" customWidth="1"/>
    <col min="39" max="39" width="9.63063063063063" style="12" customWidth="1"/>
    <col min="40" max="40" width="8.63063063063063" style="41" customWidth="1"/>
    <col min="41" max="42" width="8.63063063063063" style="38" customWidth="1"/>
    <col min="43" max="43" width="13.7477477477477" style="38" customWidth="1"/>
    <col min="44" max="44" width="8.63063063063063" style="38" customWidth="1"/>
    <col min="45" max="45" width="9.63063063063063" style="12" customWidth="1"/>
    <col min="46" max="47" width="8.63063063063063" style="41" customWidth="1"/>
    <col min="48" max="48" width="9.90990990990991" style="42" customWidth="1"/>
    <col min="49" max="49" width="17" style="38" customWidth="1"/>
    <col min="50" max="50" width="9.90990990990991" style="38" customWidth="1"/>
    <col min="51" max="51" width="12.1261261261261" style="38" customWidth="1"/>
    <col min="52" max="52" width="26.3693693693694" style="38" customWidth="1"/>
    <col min="53" max="53" width="14.6306306306306" style="38" customWidth="1"/>
    <col min="54" max="54" width="8.63063063063063" style="44" customWidth="1"/>
    <col min="55" max="55" width="16" style="38" customWidth="1"/>
    <col min="56" max="56" width="20.3783783783784" style="38" customWidth="1"/>
    <col min="57" max="57" width="20.3783783783784" style="44" customWidth="1"/>
    <col min="58" max="58" width="18.2522522522523" style="38" customWidth="1"/>
    <col min="59" max="59" width="22.6216216216216" style="38" customWidth="1"/>
    <col min="60" max="60" width="22.6216216216216" style="44" customWidth="1"/>
    <col min="61" max="61" width="18.2522522522523" style="38" customWidth="1"/>
    <col min="62" max="62" width="22.6216216216216" style="38" customWidth="1"/>
    <col min="63" max="63" width="22.6216216216216" style="44" customWidth="1"/>
    <col min="64" max="64" width="24.8738738738739" style="44" customWidth="1"/>
    <col min="65" max="65" width="9.12612612612613" style="44" customWidth="1"/>
    <col min="66" max="66" width="16" style="41" customWidth="1"/>
    <col min="67" max="67" width="24.0900900900901" style="38" customWidth="1"/>
    <col min="68" max="68" width="17" style="38" customWidth="1"/>
    <col min="69" max="69" width="8.63063063063063" style="44" customWidth="1"/>
    <col min="70" max="71" width="8.63063063063063" style="42" customWidth="1"/>
    <col min="72" max="72" width="12.3333333333333" style="40" customWidth="1"/>
    <col min="73" max="73" width="9.90990990990991" style="45" customWidth="1"/>
    <col min="74" max="74" width="9.90990990990991" style="41" customWidth="1"/>
    <col min="75" max="75" width="21.6576576576577" style="40" customWidth="1"/>
    <col min="76" max="76" width="9.90990990990991" style="45" customWidth="1"/>
    <col min="77" max="77" width="9.90990990990991" style="41" customWidth="1"/>
    <col min="78" max="16384" width="9" style="46"/>
  </cols>
  <sheetData>
    <row r="1" s="37" customFormat="1" ht="35" customHeight="1" spans="1:77">
      <c r="A1" s="47"/>
      <c r="B1" s="47"/>
      <c r="C1" s="47"/>
      <c r="D1" s="48"/>
      <c r="E1" s="47"/>
      <c r="F1" s="47"/>
      <c r="G1" s="47"/>
      <c r="H1" s="47"/>
      <c r="I1" s="47"/>
      <c r="J1" s="47"/>
      <c r="K1" s="47"/>
      <c r="L1" s="47"/>
      <c r="M1" s="47"/>
      <c r="N1" s="49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9"/>
      <c r="AU1" s="49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50"/>
    </row>
    <row r="2" s="37" customFormat="1" customHeight="1" spans="1:77">
      <c r="A2" s="19" t="s">
        <v>1</v>
      </c>
      <c r="B2" s="19" t="s">
        <v>2</v>
      </c>
      <c r="C2" s="19" t="s">
        <v>3</v>
      </c>
      <c r="D2" s="51" t="s">
        <v>4</v>
      </c>
      <c r="E2" s="52" t="s">
        <v>87</v>
      </c>
      <c r="F2" s="19" t="s">
        <v>5</v>
      </c>
      <c r="G2" s="19"/>
      <c r="H2" s="53"/>
      <c r="I2" s="19"/>
      <c r="J2" s="19"/>
      <c r="K2" s="28" t="s">
        <v>88</v>
      </c>
      <c r="L2" s="28"/>
      <c r="M2" s="28"/>
      <c r="N2" s="54"/>
      <c r="O2" s="28" t="s">
        <v>6</v>
      </c>
      <c r="P2" s="29"/>
      <c r="Q2" s="55" t="s">
        <v>7</v>
      </c>
      <c r="R2" s="26"/>
      <c r="S2" s="26"/>
      <c r="T2" s="26"/>
      <c r="U2" s="27"/>
      <c r="V2" s="55" t="s">
        <v>8</v>
      </c>
      <c r="W2" s="26"/>
      <c r="X2" s="26"/>
      <c r="Y2" s="26"/>
      <c r="Z2" s="27"/>
      <c r="AA2" s="55" t="s">
        <v>9</v>
      </c>
      <c r="AB2" s="26"/>
      <c r="AC2" s="27"/>
      <c r="AD2" s="56" t="s">
        <v>17</v>
      </c>
      <c r="AE2" s="56"/>
      <c r="AF2" s="56"/>
      <c r="AG2" s="56"/>
      <c r="AH2" s="56"/>
      <c r="AI2" s="53"/>
      <c r="AJ2" s="57"/>
      <c r="AK2" s="20"/>
      <c r="AL2" s="55" t="s">
        <v>10</v>
      </c>
      <c r="AM2" s="26"/>
      <c r="AN2" s="27"/>
      <c r="AO2" s="58" t="s">
        <v>11</v>
      </c>
      <c r="AP2" s="28"/>
      <c r="AQ2" s="28"/>
      <c r="AR2" s="28"/>
      <c r="AS2" s="28"/>
      <c r="AT2" s="59"/>
      <c r="AU2" s="59"/>
      <c r="AV2" s="56" t="s">
        <v>12</v>
      </c>
      <c r="AW2" s="19"/>
      <c r="AX2" s="19"/>
      <c r="AY2" s="58" t="s">
        <v>14</v>
      </c>
      <c r="AZ2" s="28"/>
      <c r="BA2" s="28"/>
      <c r="BB2" s="28"/>
      <c r="BC2" s="60" t="s">
        <v>15</v>
      </c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2" t="s">
        <v>16</v>
      </c>
      <c r="BO2" s="19" t="s">
        <v>13</v>
      </c>
      <c r="BP2" s="19"/>
      <c r="BQ2" s="21"/>
      <c r="BR2" s="56" t="s">
        <v>18</v>
      </c>
      <c r="BS2" s="56"/>
      <c r="BT2" s="53" t="s">
        <v>19</v>
      </c>
      <c r="BU2" s="63"/>
      <c r="BV2" s="20"/>
      <c r="BW2" s="53"/>
      <c r="BX2" s="63"/>
      <c r="BY2" s="20"/>
    </row>
    <row r="3" s="37" customFormat="1" customHeight="1" spans="1:77">
      <c r="A3" s="19"/>
      <c r="B3" s="19"/>
      <c r="C3" s="19"/>
      <c r="D3" s="64"/>
      <c r="E3" s="65"/>
      <c r="F3" s="66" t="s">
        <v>23</v>
      </c>
      <c r="G3" s="66" t="s">
        <v>24</v>
      </c>
      <c r="H3" s="67" t="s">
        <v>89</v>
      </c>
      <c r="I3" s="66" t="s">
        <v>27</v>
      </c>
      <c r="J3" s="66" t="s">
        <v>85</v>
      </c>
      <c r="K3" s="66" t="s">
        <v>90</v>
      </c>
      <c r="L3" s="66" t="s">
        <v>91</v>
      </c>
      <c r="M3" s="66" t="s">
        <v>92</v>
      </c>
      <c r="N3" s="68" t="s">
        <v>93</v>
      </c>
      <c r="O3" s="19" t="s">
        <v>36</v>
      </c>
      <c r="P3" s="20" t="s">
        <v>37</v>
      </c>
      <c r="Q3" s="69" t="s">
        <v>38</v>
      </c>
      <c r="R3" s="69" t="s">
        <v>39</v>
      </c>
      <c r="S3" s="69" t="s">
        <v>40</v>
      </c>
      <c r="T3" s="30" t="s">
        <v>41</v>
      </c>
      <c r="U3" s="68" t="s">
        <v>37</v>
      </c>
      <c r="V3" s="56" t="s">
        <v>42</v>
      </c>
      <c r="W3" s="56" t="s">
        <v>43</v>
      </c>
      <c r="X3" s="56" t="s">
        <v>44</v>
      </c>
      <c r="Y3" s="19" t="s">
        <v>41</v>
      </c>
      <c r="Z3" s="20" t="s">
        <v>37</v>
      </c>
      <c r="AA3" s="70" t="s">
        <v>45</v>
      </c>
      <c r="AB3" s="30" t="s">
        <v>41</v>
      </c>
      <c r="AC3" s="71" t="s">
        <v>37</v>
      </c>
      <c r="AD3" s="56" t="s">
        <v>45</v>
      </c>
      <c r="AE3" s="56" t="s">
        <v>74</v>
      </c>
      <c r="AF3" s="56" t="s">
        <v>75</v>
      </c>
      <c r="AG3" s="56" t="s">
        <v>76</v>
      </c>
      <c r="AH3" s="56" t="s">
        <v>77</v>
      </c>
      <c r="AI3" s="53" t="s">
        <v>78</v>
      </c>
      <c r="AJ3" s="57" t="s">
        <v>41</v>
      </c>
      <c r="AK3" s="20" t="s">
        <v>37</v>
      </c>
      <c r="AL3" s="70" t="s">
        <v>46</v>
      </c>
      <c r="AM3" s="71" t="s">
        <v>41</v>
      </c>
      <c r="AN3" s="71" t="s">
        <v>37</v>
      </c>
      <c r="AO3" s="31" t="s">
        <v>47</v>
      </c>
      <c r="AP3" s="31" t="s">
        <v>48</v>
      </c>
      <c r="AQ3" s="31" t="s">
        <v>94</v>
      </c>
      <c r="AR3" s="31" t="s">
        <v>49</v>
      </c>
      <c r="AS3" s="31" t="s">
        <v>41</v>
      </c>
      <c r="AT3" s="71" t="s">
        <v>37</v>
      </c>
      <c r="AU3" s="71" t="s">
        <v>52</v>
      </c>
      <c r="AV3" s="56" t="s">
        <v>50</v>
      </c>
      <c r="AW3" s="19" t="s">
        <v>53</v>
      </c>
      <c r="AX3" s="19" t="s">
        <v>54</v>
      </c>
      <c r="AY3" s="31" t="s">
        <v>95</v>
      </c>
      <c r="AZ3" s="31" t="s">
        <v>58</v>
      </c>
      <c r="BA3" s="31" t="s">
        <v>59</v>
      </c>
      <c r="BB3" s="30" t="s">
        <v>41</v>
      </c>
      <c r="BC3" s="19" t="s">
        <v>60</v>
      </c>
      <c r="BD3" s="19" t="s">
        <v>61</v>
      </c>
      <c r="BE3" s="30" t="s">
        <v>62</v>
      </c>
      <c r="BF3" s="31" t="s">
        <v>63</v>
      </c>
      <c r="BG3" s="31" t="s">
        <v>64</v>
      </c>
      <c r="BH3" s="30" t="s">
        <v>65</v>
      </c>
      <c r="BI3" s="31" t="s">
        <v>66</v>
      </c>
      <c r="BJ3" s="31" t="s">
        <v>67</v>
      </c>
      <c r="BK3" s="30" t="s">
        <v>68</v>
      </c>
      <c r="BL3" s="30" t="s">
        <v>69</v>
      </c>
      <c r="BM3" s="30" t="s">
        <v>41</v>
      </c>
      <c r="BN3" s="71" t="s">
        <v>73</v>
      </c>
      <c r="BO3" s="31" t="s">
        <v>55</v>
      </c>
      <c r="BP3" s="31" t="s">
        <v>56</v>
      </c>
      <c r="BQ3" s="30" t="s">
        <v>41</v>
      </c>
      <c r="BR3" s="70" t="s">
        <v>82</v>
      </c>
      <c r="BS3" s="70" t="s">
        <v>52</v>
      </c>
      <c r="BT3" s="53" t="s">
        <v>84</v>
      </c>
      <c r="BU3" s="63" t="s">
        <v>41</v>
      </c>
      <c r="BV3" s="20" t="s">
        <v>37</v>
      </c>
      <c r="BW3" s="53" t="s">
        <v>83</v>
      </c>
      <c r="BX3" s="63" t="s">
        <v>41</v>
      </c>
      <c r="BY3" s="20" t="s">
        <v>37</v>
      </c>
    </row>
  </sheetData>
  <mergeCells count="21">
    <mergeCell ref="A1:BY1"/>
    <mergeCell ref="F2:J2"/>
    <mergeCell ref="K2:N2"/>
    <mergeCell ref="O2:P2"/>
    <mergeCell ref="Q2:U2"/>
    <mergeCell ref="V2:Z2"/>
    <mergeCell ref="AA2:AC2"/>
    <mergeCell ref="AD2:AK2"/>
    <mergeCell ref="AL2:AN2"/>
    <mergeCell ref="AO2:AU2"/>
    <mergeCell ref="AV2:AX2"/>
    <mergeCell ref="AY2:BB2"/>
    <mergeCell ref="BC2:BM2"/>
    <mergeCell ref="BO2:BQ2"/>
    <mergeCell ref="BR2:BS2"/>
    <mergeCell ref="BT2:BY2"/>
    <mergeCell ref="A2:A3"/>
    <mergeCell ref="B2:B3"/>
    <mergeCell ref="C2:C3"/>
    <mergeCell ref="D2:D3"/>
    <mergeCell ref="E2:E3"/>
  </mergeCells>
  <conditionalFormatting sqref="O4:O1048576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:T1048576">
    <cfRule type="cellIs" dxfId="0" priority="40" operator="lessThan">
      <formula>IF($B4="广州",配置!$C$2,IF($B4="深圳",配置!$I$2,IF($B4="上海",配置!$O$2,配置!$U$2)))</formula>
    </cfRule>
    <cfRule type="cellIs" dxfId="1" priority="41" operator="lessThan">
      <formula>IF($B4="广州",配置!$D$2,IF($B4="深圳",配置!$J$2,IF($B4="上海",配置!$P$2,配置!$V$2)))</formula>
    </cfRule>
    <cfRule type="cellIs" dxfId="2" priority="42" operator="lessThan">
      <formula>IF($B4="广州",配置!$E$2,IF($B4="深圳",配置!$K$2,IF($B4="上海",配置!$Q$2,配置!$W$2)))</formula>
    </cfRule>
  </conditionalFormatting>
  <conditionalFormatting sqref="Y4:Y1048576">
    <cfRule type="cellIs" dxfId="0" priority="37" operator="greaterThan">
      <formula>IF($B4="广州",配置!$C$3,IF($B4="深圳",配置!$I$3,IF($B4="上海",配置!$O$3,配置!$U$3)))</formula>
    </cfRule>
    <cfRule type="cellIs" dxfId="1" priority="38" operator="greaterThan">
      <formula>IF($B4="广州",配置!$D$3,IF($B4="深圳",配置!$J$3,IF($B4="上海",配置!$P$3,配置!$V$3)))</formula>
    </cfRule>
    <cfRule type="cellIs" dxfId="2" priority="39" operator="greaterThan">
      <formula>IF($B4="广州",配置!$E$3,IF($B4="深圳",配置!$K$3,IF($B4="上海",配置!$Q$3,配置!$W$3)))</formula>
    </cfRule>
  </conditionalFormatting>
  <conditionalFormatting sqref="AB4:AB1048576">
    <cfRule type="cellIs" dxfId="0" priority="16" operator="greaterThan">
      <formula>IF($B4="广州",配置!$C$4,IF($B4="深圳",配置!$I$4,IF($B4="上海",配置!$O$4,配置!$U$4)))</formula>
    </cfRule>
    <cfRule type="cellIs" dxfId="1" priority="17" operator="greaterThan">
      <formula>IF($B4="广州",配置!$D$4,IF($B4="深圳",配置!$J$4,IF($B4="上海",配置!$P$4,配置!$V$4)))</formula>
    </cfRule>
    <cfRule type="cellIs" dxfId="2" priority="18" operator="greaterThan">
      <formula>IF($B4="广州",配置!$E$4,IF($B4="深圳",配置!$K$4,IF($B4="上海",配置!$Q$4,配置!$W$4)))</formula>
    </cfRule>
  </conditionalFormatting>
  <conditionalFormatting sqref="AM4:AM1048576">
    <cfRule type="cellIs" dxfId="0" priority="13" operator="greaterThan">
      <formula>IF($B4="广州",配置!$C$5,IF($B4="深圳",配置!$I$5,IF($B4="上海",配置!$O$5,配置!$U$5)))</formula>
    </cfRule>
    <cfRule type="cellIs" dxfId="1" priority="14" operator="greaterThan">
      <formula>IF($B4="广州",配置!$D$5,IF($B4="深圳",配置!$J$5,IF($B4="上海",配置!$P$5,配置!$V$5)))</formula>
    </cfRule>
    <cfRule type="cellIs" dxfId="2" priority="15" operator="greaterThan">
      <formula>IF($B4="广州",配置!$E$5,IF($B4="深圳",配置!$K$5,IF($B4="上海",配置!$Q$5,配置!$W$5)))</formula>
    </cfRule>
  </conditionalFormatting>
  <conditionalFormatting sqref="AS4:AS1048576">
    <cfRule type="cellIs" dxfId="0" priority="10" operator="lessThan">
      <formula>IF($B4="广州",配置!$C$6,IF($B4="深圳",配置!$I$6,IF($B4="上海",配置!$O$6,配置!$U$6)))</formula>
    </cfRule>
    <cfRule type="cellIs" dxfId="1" priority="11" operator="lessThan">
      <formula>IF($B4="广州",配置!$D$6,IF($B4="深圳",配置!$J$6,IF($B4="上海",配置!$P$6,配置!$V$6)))</formula>
    </cfRule>
    <cfRule type="cellIs" dxfId="2" priority="12" operator="lessThan">
      <formula>IF($B4="广州",配置!$E$6,IF($B4="深圳",配置!$K$6,IF($B4="上海",配置!$Q$6,配置!$W$6)))</formula>
    </cfRule>
  </conditionalFormatting>
  <conditionalFormatting sqref="AU$1:AU$1048576">
    <cfRule type="cellIs" dxfId="3" priority="1" operator="lessThan">
      <formula>0</formula>
    </cfRule>
  </conditionalFormatting>
  <conditionalFormatting sqref="AY2:AY1048576">
    <cfRule type="cellIs" dxfId="3" priority="3" operator="equal">
      <formula>"恶劣天气"</formula>
    </cfRule>
  </conditionalFormatting>
  <conditionalFormatting sqref="BK4:BK1048576">
    <cfRule type="cellIs" dxfId="3" priority="8" operator="lessThan">
      <formula>0.9</formula>
    </cfRule>
  </conditionalFormatting>
  <conditionalFormatting sqref="BN2:BN1048576">
    <cfRule type="cellIs" dxfId="3" priority="2" operator="lessThan">
      <formula>0</formula>
    </cfRule>
  </conditionalFormatting>
  <conditionalFormatting sqref="BS4:BS1048576">
    <cfRule type="cellIs" dxfId="3" priority="21" operator="lessThan">
      <formula>0</formula>
    </cfRule>
  </conditionalFormatting>
  <conditionalFormatting sqref="BV2:BV1048576">
    <cfRule type="cellIs" dxfId="3" priority="4" operator="lessThan">
      <formula>-0.000001</formula>
    </cfRule>
  </conditionalFormatting>
  <conditionalFormatting sqref="BY4:BY1048576">
    <cfRule type="cellIs" dxfId="3" priority="5" operator="lessThan">
      <formula>1</formula>
    </cfRule>
    <cfRule type="cellIs" dxfId="3" priority="6" operator="lessThan">
      <formula>1</formula>
    </cfRule>
  </conditionalFormatting>
  <conditionalFormatting sqref="AK4:AK1048576 BS4:BS1048576 AX4:AY1048576 BN4:BN1048576">
    <cfRule type="cellIs" dxfId="3" priority="20" operator="lessThan">
      <formula>0</formula>
    </cfRule>
  </conditionalFormatting>
  <conditionalFormatting sqref="BE4:BE1048576 BH4:BH1048576">
    <cfRule type="cellIs" dxfId="3" priority="7" operator="lessThan">
      <formula>0.9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A1" sqref="A1:S1"/>
    </sheetView>
  </sheetViews>
  <sheetFormatPr defaultColWidth="8.72072072072072" defaultRowHeight="25" customHeight="1" outlineLevelRow="1"/>
  <cols>
    <col min="1" max="1" width="12.8198198198198" style="32" customWidth="1"/>
    <col min="2" max="2" width="8.36936936936937" style="32" customWidth="1"/>
    <col min="3" max="3" width="9.90990990990991" style="32" customWidth="1"/>
    <col min="4" max="4" width="14.6306306306306" style="32" customWidth="1"/>
    <col min="5" max="5" width="8.18018018018018" style="32" customWidth="1"/>
    <col min="6" max="12" width="13.4594594594595" style="33" customWidth="1"/>
    <col min="13" max="19" width="13.4594594594595" style="33" hidden="1" customWidth="1"/>
    <col min="20" max="16384" width="8.72072072072072" style="8"/>
  </cols>
  <sheetData>
    <row r="1" ht="35" customHeight="1" spans="1:19">
      <c r="A1" s="34" t="s">
        <v>96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ht="35" customHeight="1" spans="1:19">
      <c r="A2" s="35" t="s">
        <v>4</v>
      </c>
      <c r="B2" s="35" t="s">
        <v>1</v>
      </c>
      <c r="C2" s="35" t="s">
        <v>2</v>
      </c>
      <c r="D2" s="35" t="s">
        <v>3</v>
      </c>
      <c r="E2" s="35" t="s">
        <v>97</v>
      </c>
      <c r="F2" s="36" t="s">
        <v>7</v>
      </c>
      <c r="G2" s="36" t="s">
        <v>98</v>
      </c>
      <c r="H2" s="36" t="s">
        <v>9</v>
      </c>
      <c r="I2" s="36" t="s">
        <v>99</v>
      </c>
      <c r="J2" s="36" t="s">
        <v>100</v>
      </c>
      <c r="K2" s="36" t="s">
        <v>101</v>
      </c>
      <c r="L2" s="36" t="s">
        <v>102</v>
      </c>
      <c r="M2" s="36" t="s">
        <v>13</v>
      </c>
      <c r="N2" s="36" t="s">
        <v>14</v>
      </c>
      <c r="O2" s="36" t="s">
        <v>16</v>
      </c>
      <c r="P2" s="36" t="s">
        <v>103</v>
      </c>
      <c r="Q2" s="36" t="s">
        <v>104</v>
      </c>
      <c r="R2" s="36" t="s">
        <v>105</v>
      </c>
      <c r="S2" s="36" t="s">
        <v>106</v>
      </c>
    </row>
  </sheetData>
  <mergeCells count="1">
    <mergeCell ref="A1:S1"/>
  </mergeCells>
  <conditionalFormatting sqref="E2:E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F3:S1048576">
    <cfRule type="notContainsBlanks" dxfId="4" priority="2">
      <formula>LEN(TRIM(F3))&gt;0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zoomScale="85" zoomScaleNormal="85" workbookViewId="0">
      <pane xSplit="5" ySplit="3" topLeftCell="F4" activePane="bottomRight" state="frozen"/>
      <selection/>
      <selection pane="topRight"/>
      <selection pane="bottomLeft"/>
      <selection pane="bottomRight" activeCell="A1" sqref="A1:Q1"/>
    </sheetView>
  </sheetViews>
  <sheetFormatPr defaultColWidth="8.72072072072072" defaultRowHeight="25" customHeight="1" outlineLevelRow="2"/>
  <cols>
    <col min="1" max="1" width="10.4594594594595" style="10" customWidth="1"/>
    <col min="2" max="2" width="13.3693693693694" style="10" hidden="1" customWidth="1"/>
    <col min="3" max="3" width="16.4594594594595" style="10" customWidth="1"/>
    <col min="4" max="4" width="13.0900900900901" style="10" hidden="1" customWidth="1"/>
    <col min="5" max="5" width="11.5405405405405" style="10" hidden="1" customWidth="1"/>
    <col min="6" max="6" width="13" style="24" customWidth="1"/>
    <col min="7" max="7" width="13.0900900900901" style="10" customWidth="1"/>
    <col min="8" max="8" width="12.6306306306306" style="12" customWidth="1"/>
    <col min="9" max="9" width="12.6306306306306" style="11" customWidth="1"/>
    <col min="10" max="10" width="12.6306306306306" style="12" customWidth="1"/>
    <col min="11" max="11" width="12.6306306306306" style="11" customWidth="1"/>
    <col min="12" max="12" width="12.6306306306306" style="12" customWidth="1"/>
    <col min="13" max="13" width="12.6306306306306" style="11" customWidth="1"/>
    <col min="14" max="14" width="12.6306306306306" style="12" customWidth="1"/>
    <col min="15" max="15" width="12.6306306306306" style="11" customWidth="1"/>
    <col min="16" max="16" width="12.6306306306306" style="12" customWidth="1"/>
    <col min="17" max="17" width="12.6306306306306" style="11" customWidth="1"/>
    <col min="18" max="16384" width="8.72072072072072" style="13"/>
  </cols>
  <sheetData>
    <row r="1" ht="35" customHeight="1" spans="1:17">
      <c r="A1" s="25" t="s">
        <v>107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customHeight="1" spans="1:17">
      <c r="A2" s="19" t="s">
        <v>1</v>
      </c>
      <c r="B2" s="19" t="s">
        <v>2</v>
      </c>
      <c r="C2" s="19" t="s">
        <v>3</v>
      </c>
      <c r="D2" s="19" t="s">
        <v>108</v>
      </c>
      <c r="E2" s="19" t="s">
        <v>109</v>
      </c>
      <c r="F2" s="19" t="s">
        <v>110</v>
      </c>
      <c r="G2" s="19" t="s">
        <v>111</v>
      </c>
      <c r="H2" s="26" t="s">
        <v>7</v>
      </c>
      <c r="I2" s="27"/>
      <c r="J2" s="26" t="s">
        <v>8</v>
      </c>
      <c r="K2" s="27"/>
      <c r="L2" s="26" t="s">
        <v>9</v>
      </c>
      <c r="M2" s="27"/>
      <c r="N2" s="26" t="s">
        <v>10</v>
      </c>
      <c r="O2" s="27"/>
      <c r="P2" s="28" t="s">
        <v>11</v>
      </c>
      <c r="Q2" s="29"/>
    </row>
    <row r="3" customHeight="1" spans="1:17">
      <c r="A3" s="19"/>
      <c r="B3" s="19"/>
      <c r="C3" s="19"/>
      <c r="D3" s="19"/>
      <c r="E3" s="19"/>
      <c r="F3" s="19"/>
      <c r="G3" s="19"/>
      <c r="H3" s="30" t="s">
        <v>41</v>
      </c>
      <c r="I3" s="30" t="s">
        <v>37</v>
      </c>
      <c r="J3" s="19" t="s">
        <v>41</v>
      </c>
      <c r="K3" s="20" t="s">
        <v>37</v>
      </c>
      <c r="L3" s="30" t="s">
        <v>41</v>
      </c>
      <c r="M3" s="30" t="s">
        <v>37</v>
      </c>
      <c r="N3" s="20" t="s">
        <v>41</v>
      </c>
      <c r="O3" s="20" t="s">
        <v>37</v>
      </c>
      <c r="P3" s="31" t="s">
        <v>41</v>
      </c>
      <c r="Q3" s="31" t="s">
        <v>37</v>
      </c>
    </row>
  </sheetData>
  <mergeCells count="13">
    <mergeCell ref="A1:Q1"/>
    <mergeCell ref="H2:I2"/>
    <mergeCell ref="J2:K2"/>
    <mergeCell ref="L2:M2"/>
    <mergeCell ref="N2:O2"/>
    <mergeCell ref="P2:Q2"/>
    <mergeCell ref="A2:A3"/>
    <mergeCell ref="B2:B3"/>
    <mergeCell ref="C2:C3"/>
    <mergeCell ref="D2:D3"/>
    <mergeCell ref="E2:E3"/>
    <mergeCell ref="F2:F3"/>
    <mergeCell ref="G2:G3"/>
  </mergeCells>
  <conditionalFormatting sqref="F2:F1048576">
    <cfRule type="containsText" dxfId="5" priority="16" operator="between" text="合格">
      <formula>NOT(ISERROR(SEARCH("合格",F2)))</formula>
    </cfRule>
    <cfRule type="containsText" dxfId="6" priority="17" operator="between" text="极差">
      <formula>NOT(ISERROR(SEARCH("极差",F2)))</formula>
    </cfRule>
    <cfRule type="containsText" dxfId="7" priority="18" operator="between" text="优秀">
      <formula>NOT(ISERROR(SEARCH("优秀",F2)))</formula>
    </cfRule>
    <cfRule type="containsText" dxfId="8" priority="19" operator="between" text="良好">
      <formula>NOT(ISERROR(SEARCH("良好",F2)))</formula>
    </cfRule>
  </conditionalFormatting>
  <conditionalFormatting sqref="H4:H1048576">
    <cfRule type="cellIs" dxfId="0" priority="13" operator="lessThan">
      <formula>IF($A4="广州",配置!$C$2,IF($A4="深圳",配置!$I$2,IF($A4="上海",配置!$O$2,配置!$U$2)))</formula>
    </cfRule>
    <cfRule type="cellIs" dxfId="1" priority="14" operator="lessThan">
      <formula>IF($A4="广州",配置!$D$2,IF($A4="深圳",配置!$J$2,IF($A4="上海",配置!$P$2,配置!$V$2)))</formula>
    </cfRule>
    <cfRule type="cellIs" dxfId="2" priority="15" operator="lessThan">
      <formula>IF($A4="广州",配置!$E$2,IF($A4="深圳",配置!$K$2,IF($A4="上海",配置!$Q$2,配置!$W$2)))</formula>
    </cfRule>
  </conditionalFormatting>
  <conditionalFormatting sqref="J4:J1048576">
    <cfRule type="cellIs" dxfId="0" priority="10" operator="greaterThan">
      <formula>IF($A4="广州",配置!$C$3,IF($A4="深圳",配置!$I$3,IF($A4="上海",配置!$O$3,配置!$U$3)))</formula>
    </cfRule>
    <cfRule type="cellIs" dxfId="1" priority="11" operator="greaterThan">
      <formula>IF($A4="广州",配置!$D$3,IF($A4="深圳",配置!$J$3,IF($A4="上海",配置!$P$3,配置!$V$3)))</formula>
    </cfRule>
    <cfRule type="cellIs" dxfId="2" priority="12" operator="greaterThan">
      <formula>IF($A4="广州",配置!$E$3,IF($A4="深圳",配置!$K$3,IF($A4="上海",配置!$Q$3,配置!$W$3)))</formula>
    </cfRule>
  </conditionalFormatting>
  <conditionalFormatting sqref="L4:L1048576">
    <cfRule type="cellIs" dxfId="0" priority="7" operator="greaterThan">
      <formula>IF($A4="广州",配置!$C$4,IF($A4="深圳",配置!$I$4,IF($A4="上海",配置!$O$4,配置!$U$4)))</formula>
    </cfRule>
    <cfRule type="cellIs" dxfId="1" priority="8" operator="greaterThan">
      <formula>IF($A4="广州",配置!$D$4,IF($A4="深圳",配置!$J$4,IF($A4="上海",配置!$P$4,配置!$V$4)))</formula>
    </cfRule>
    <cfRule type="cellIs" dxfId="2" priority="9" operator="greaterThan">
      <formula>IF($A4="广州",配置!$E$4,IF($A4="深圳",配置!$K$4,IF($A4="上海",配置!$Q$4,配置!$W$4)))</formula>
    </cfRule>
  </conditionalFormatting>
  <conditionalFormatting sqref="N4:N1048576">
    <cfRule type="cellIs" dxfId="0" priority="4" operator="greaterThan">
      <formula>IF($A4="广州",配置!$C$5,IF($A4="深圳",配置!$I$5,IF($A4="上海",配置!$O$5,配置!$U$5)))</formula>
    </cfRule>
    <cfRule type="cellIs" dxfId="1" priority="5" operator="greaterThan">
      <formula>IF($A4="广州",配置!$D$5,IF($A4="深圳",配置!$J$5,IF($A4="上海",配置!$P$5,配置!$V$5)))</formula>
    </cfRule>
    <cfRule type="cellIs" dxfId="2" priority="6" operator="greaterThan">
      <formula>IF($A4="广州",配置!$E$5,IF($A4="深圳",配置!$K$5,IF($A4="上海",配置!$Q$5,配置!$W$5)))</formula>
    </cfRule>
  </conditionalFormatting>
  <conditionalFormatting sqref="P4:P1048576">
    <cfRule type="cellIs" dxfId="0" priority="1" operator="lessThan">
      <formula>IF($A4="广州",配置!$C$6,IF($A4="深圳",配置!$I$6,IF($A4="上海",配置!$O$6,配置!$U$6)))</formula>
    </cfRule>
    <cfRule type="cellIs" dxfId="1" priority="2" operator="lessThan">
      <formula>IF($A4="广州",配置!$D$6,IF($A4="深圳",配置!$J$6,IF($A4="上海",配置!$P$6,配置!$V$6)))</formula>
    </cfRule>
    <cfRule type="cellIs" dxfId="2" priority="3" operator="lessThan">
      <formula>IF($A4="广州",配置!$E$6,IF($A4="深圳",配置!$K$6,IF($A4="上海",配置!$Q$6,配置!$W$6)))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opLeftCell="B1" workbookViewId="0">
      <pane xSplit="1" ySplit="3" topLeftCell="C4" activePane="bottomRight" state="frozen"/>
      <selection/>
      <selection pane="topRight"/>
      <selection pane="bottomLeft"/>
      <selection pane="bottomRight" activeCell="A1" sqref="$A1:$XFD1"/>
    </sheetView>
  </sheetViews>
  <sheetFormatPr defaultColWidth="8.72072072072072" defaultRowHeight="25" customHeight="1" outlineLevelRow="2"/>
  <cols>
    <col min="1" max="1" width="13.9099099099099" style="9" hidden="1" customWidth="1"/>
    <col min="2" max="2" width="15.5405405405405" style="10" customWidth="1"/>
    <col min="3" max="4" width="10.5405405405405" style="11" customWidth="1"/>
    <col min="5" max="5" width="11.6306306306306" style="12" customWidth="1"/>
    <col min="6" max="6" width="15.5405405405405" style="10" customWidth="1"/>
    <col min="7" max="8" width="9.90990990990991" style="12" customWidth="1"/>
    <col min="9" max="9" width="11.6306306306306" style="12" customWidth="1"/>
    <col min="10" max="10" width="15.5405405405405" style="10" customWidth="1"/>
    <col min="11" max="12" width="8.63063063063063" style="12" customWidth="1"/>
    <col min="13" max="13" width="11.6306306306306" style="12" customWidth="1"/>
    <col min="14" max="14" width="15.5405405405405" style="10" customWidth="1"/>
    <col min="15" max="16" width="8.63063063063063" style="12" customWidth="1"/>
    <col min="17" max="17" width="11.6306306306306" style="12" customWidth="1"/>
    <col min="18" max="18" width="15.5405405405405" style="10" customWidth="1"/>
    <col min="19" max="20" width="8.63063063063063" style="12" customWidth="1"/>
    <col min="21" max="21" width="11.6306306306306" style="12" customWidth="1"/>
    <col min="22" max="22" width="15.5405405405405" style="10" customWidth="1"/>
    <col min="23" max="24" width="10.9099099099099" style="12" customWidth="1"/>
    <col min="25" max="25" width="11.6306306306306" style="12" customWidth="1"/>
    <col min="26" max="16384" width="8.72072072072072" style="13"/>
  </cols>
  <sheetData>
    <row r="1" s="8" customFormat="1" ht="35" customHeight="1" spans="1:25">
      <c r="A1" s="14" t="s">
        <v>112</v>
      </c>
      <c r="B1" s="15"/>
      <c r="C1" s="16"/>
      <c r="D1" s="16"/>
      <c r="E1" s="17"/>
      <c r="F1" s="15"/>
      <c r="G1" s="17"/>
      <c r="H1" s="17"/>
      <c r="I1" s="17"/>
      <c r="J1" s="15"/>
      <c r="K1" s="17"/>
      <c r="L1" s="17"/>
      <c r="M1" s="17"/>
      <c r="N1" s="15"/>
      <c r="O1" s="17"/>
      <c r="P1" s="17"/>
      <c r="Q1" s="17"/>
      <c r="R1" s="15"/>
      <c r="S1" s="17"/>
      <c r="T1" s="17"/>
      <c r="U1" s="17"/>
      <c r="V1" s="15"/>
      <c r="W1" s="17"/>
      <c r="X1" s="17"/>
      <c r="Y1" s="17"/>
    </row>
    <row r="2" s="8" customFormat="1" customHeight="1" spans="1:25">
      <c r="A2" s="18" t="s">
        <v>4</v>
      </c>
      <c r="B2" s="19" t="s">
        <v>113</v>
      </c>
      <c r="C2" s="20" t="s">
        <v>114</v>
      </c>
      <c r="D2" s="20"/>
      <c r="E2" s="21"/>
      <c r="F2" s="19" t="s">
        <v>113</v>
      </c>
      <c r="G2" s="21" t="s">
        <v>115</v>
      </c>
      <c r="H2" s="21"/>
      <c r="I2" s="21"/>
      <c r="J2" s="19" t="s">
        <v>113</v>
      </c>
      <c r="K2" s="21" t="s">
        <v>116</v>
      </c>
      <c r="L2" s="21"/>
      <c r="M2" s="21"/>
      <c r="N2" s="19" t="s">
        <v>113</v>
      </c>
      <c r="O2" s="21" t="s">
        <v>117</v>
      </c>
      <c r="P2" s="21"/>
      <c r="Q2" s="21"/>
      <c r="R2" s="19" t="s">
        <v>113</v>
      </c>
      <c r="S2" s="21" t="s">
        <v>118</v>
      </c>
      <c r="T2" s="21"/>
      <c r="U2" s="21"/>
      <c r="V2" s="19" t="s">
        <v>113</v>
      </c>
      <c r="W2" s="21" t="s">
        <v>10</v>
      </c>
      <c r="X2" s="21"/>
      <c r="Y2" s="21"/>
    </row>
    <row r="3" s="8" customFormat="1" customHeight="1" spans="1:25">
      <c r="A3" s="18"/>
      <c r="B3" s="19"/>
      <c r="C3" s="22">
        <f>$A$4</f>
        <v>0</v>
      </c>
      <c r="D3" s="22">
        <f>C3-1</f>
        <v>-1</v>
      </c>
      <c r="E3" s="23" t="s">
        <v>86</v>
      </c>
      <c r="F3" s="19"/>
      <c r="G3" s="22">
        <f>$C$3</f>
        <v>0</v>
      </c>
      <c r="H3" s="22">
        <f>$D$3</f>
        <v>-1</v>
      </c>
      <c r="I3" s="23" t="s">
        <v>86</v>
      </c>
      <c r="J3" s="19"/>
      <c r="K3" s="22">
        <f>$C$3</f>
        <v>0</v>
      </c>
      <c r="L3" s="22">
        <f>$D$3</f>
        <v>-1</v>
      </c>
      <c r="M3" s="23" t="s">
        <v>86</v>
      </c>
      <c r="N3" s="19"/>
      <c r="O3" s="22">
        <f>$C$3</f>
        <v>0</v>
      </c>
      <c r="P3" s="22">
        <f>$D$3</f>
        <v>-1</v>
      </c>
      <c r="Q3" s="23" t="s">
        <v>86</v>
      </c>
      <c r="R3" s="19"/>
      <c r="S3" s="22">
        <f>$C$3</f>
        <v>0</v>
      </c>
      <c r="T3" s="22">
        <f>$D$3</f>
        <v>-1</v>
      </c>
      <c r="U3" s="23" t="s">
        <v>86</v>
      </c>
      <c r="V3" s="19"/>
      <c r="W3" s="22">
        <f>$C$3</f>
        <v>0</v>
      </c>
      <c r="X3" s="22">
        <f>$D$3</f>
        <v>-1</v>
      </c>
      <c r="Y3" s="23" t="s">
        <v>86</v>
      </c>
    </row>
  </sheetData>
  <mergeCells count="14">
    <mergeCell ref="A1:Y1"/>
    <mergeCell ref="C2:E2"/>
    <mergeCell ref="G2:I2"/>
    <mergeCell ref="K2:M2"/>
    <mergeCell ref="O2:Q2"/>
    <mergeCell ref="S2:U2"/>
    <mergeCell ref="W2:Y2"/>
    <mergeCell ref="A2:A3"/>
    <mergeCell ref="B2:B3"/>
    <mergeCell ref="F2:F3"/>
    <mergeCell ref="J2:J3"/>
    <mergeCell ref="N2:N3"/>
    <mergeCell ref="R2:R3"/>
    <mergeCell ref="V2:V3"/>
  </mergeCells>
  <conditionalFormatting sqref="E2:E1048576 Y2:Y1048576 U2:U1048576 M2:M1048576 I2:I1048576 Q2:Q1048576">
    <cfRule type="iconSet" priority="1">
      <iconSet iconSet="3Arrows">
        <cfvo type="percent" val="0"/>
        <cfvo type="num" val="0" gte="0"/>
        <cfvo type="num" val="0" gte="0"/>
      </iconSet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A1:W15"/>
  <sheetViews>
    <sheetView workbookViewId="0">
      <selection activeCell="A1" sqref="A1"/>
    </sheetView>
  </sheetViews>
  <sheetFormatPr defaultColWidth="8.72072072072072" defaultRowHeight="19" customHeight="1"/>
  <cols>
    <col min="1" max="1" width="17" customWidth="1"/>
    <col min="2" max="2" width="10.5045045045045" style="1" customWidth="1"/>
    <col min="3" max="4" width="8.54054054054054" style="2" customWidth="1"/>
    <col min="5" max="5" width="9.54054054054054" style="2" customWidth="1"/>
    <col min="7" max="7" width="17" customWidth="1"/>
    <col min="8" max="8" width="10.5045045045045" style="1" customWidth="1"/>
    <col min="9" max="10" width="8.54054054054054" customWidth="1"/>
    <col min="11" max="11" width="9.54054054054054" customWidth="1"/>
    <col min="13" max="13" width="17" customWidth="1"/>
    <col min="14" max="14" width="10.5045045045045" style="1" customWidth="1"/>
    <col min="15" max="16" width="8.54054054054054" customWidth="1"/>
    <col min="17" max="17" width="9.54054054054054" customWidth="1"/>
    <col min="19" max="19" width="16" customWidth="1"/>
    <col min="20" max="20" width="10.5045045045045" style="1" customWidth="1"/>
    <col min="21" max="22" width="7.37837837837838" customWidth="1"/>
    <col min="23" max="23" width="8.37837837837838" customWidth="1"/>
  </cols>
  <sheetData>
    <row r="1" customHeight="1" spans="1:23">
      <c r="A1" s="3" t="s">
        <v>119</v>
      </c>
      <c r="B1" s="4" t="s">
        <v>120</v>
      </c>
      <c r="C1" s="5">
        <v>0</v>
      </c>
      <c r="D1" s="5">
        <v>80</v>
      </c>
      <c r="E1" s="5">
        <v>100</v>
      </c>
      <c r="G1" s="3" t="s">
        <v>121</v>
      </c>
      <c r="H1" s="4" t="s">
        <v>120</v>
      </c>
      <c r="I1" s="5">
        <v>0</v>
      </c>
      <c r="J1" s="5">
        <v>80</v>
      </c>
      <c r="K1" s="5">
        <v>100</v>
      </c>
      <c r="M1" s="3" t="s">
        <v>122</v>
      </c>
      <c r="N1" s="4" t="s">
        <v>120</v>
      </c>
      <c r="O1" s="5">
        <v>0</v>
      </c>
      <c r="P1" s="5">
        <v>80</v>
      </c>
      <c r="Q1" s="5">
        <v>100</v>
      </c>
      <c r="S1" s="3" t="s">
        <v>123</v>
      </c>
      <c r="T1" s="4" t="s">
        <v>120</v>
      </c>
      <c r="U1" s="5">
        <v>0</v>
      </c>
      <c r="V1" s="5">
        <v>80</v>
      </c>
      <c r="W1" s="5">
        <v>100</v>
      </c>
    </row>
    <row r="2" customHeight="1" spans="1:23">
      <c r="A2" s="3" t="s">
        <v>7</v>
      </c>
      <c r="B2" s="4">
        <v>25</v>
      </c>
      <c r="C2" s="6">
        <v>0.88</v>
      </c>
      <c r="D2" s="6">
        <v>0.93</v>
      </c>
      <c r="E2" s="6">
        <v>0.94</v>
      </c>
      <c r="G2" s="3" t="s">
        <v>7</v>
      </c>
      <c r="H2" s="4">
        <v>25</v>
      </c>
      <c r="I2" s="6">
        <v>0.88</v>
      </c>
      <c r="J2" s="6">
        <v>0.93</v>
      </c>
      <c r="K2" s="6">
        <v>0.94</v>
      </c>
      <c r="M2" s="3" t="s">
        <v>7</v>
      </c>
      <c r="N2" s="4">
        <v>20</v>
      </c>
      <c r="O2" s="6">
        <v>0.88</v>
      </c>
      <c r="P2" s="6">
        <v>0.93</v>
      </c>
      <c r="Q2" s="6">
        <v>0.95</v>
      </c>
      <c r="S2" s="3" t="s">
        <v>7</v>
      </c>
      <c r="T2" s="4">
        <v>20</v>
      </c>
      <c r="U2" s="6">
        <v>0.88</v>
      </c>
      <c r="V2" s="6">
        <v>0.93</v>
      </c>
      <c r="W2" s="6">
        <v>0.94</v>
      </c>
    </row>
    <row r="3" customHeight="1" spans="1:23">
      <c r="A3" s="3" t="s">
        <v>8</v>
      </c>
      <c r="B3" s="4">
        <v>10</v>
      </c>
      <c r="C3" s="6">
        <v>0.05</v>
      </c>
      <c r="D3" s="6">
        <v>0.025</v>
      </c>
      <c r="E3" s="6">
        <v>0.02</v>
      </c>
      <c r="G3" s="3" t="s">
        <v>8</v>
      </c>
      <c r="H3" s="4">
        <v>10</v>
      </c>
      <c r="I3" s="7">
        <v>0.05</v>
      </c>
      <c r="J3" s="6">
        <v>0.03</v>
      </c>
      <c r="K3" s="6">
        <v>0.025</v>
      </c>
      <c r="M3" s="3" t="s">
        <v>8</v>
      </c>
      <c r="N3" s="4">
        <v>15</v>
      </c>
      <c r="O3" s="7">
        <v>0.05</v>
      </c>
      <c r="P3" s="6">
        <v>0.025</v>
      </c>
      <c r="Q3" s="6">
        <v>0.015</v>
      </c>
      <c r="S3" s="3" t="s">
        <v>8</v>
      </c>
      <c r="T3" s="4">
        <v>15</v>
      </c>
      <c r="U3" s="7">
        <v>0.05</v>
      </c>
      <c r="V3" s="6">
        <v>0.025</v>
      </c>
      <c r="W3" s="6">
        <v>0.015</v>
      </c>
    </row>
    <row r="4" customHeight="1" spans="1:23">
      <c r="A4" s="3" t="s">
        <v>9</v>
      </c>
      <c r="B4" s="4">
        <v>15</v>
      </c>
      <c r="C4" s="6">
        <v>0.00134</v>
      </c>
      <c r="D4" s="6">
        <v>0.00101</v>
      </c>
      <c r="E4" s="6">
        <v>0.00086</v>
      </c>
      <c r="G4" s="3" t="s">
        <v>9</v>
      </c>
      <c r="H4" s="4">
        <v>15</v>
      </c>
      <c r="I4" s="6">
        <v>0.00134</v>
      </c>
      <c r="J4" s="6">
        <v>0.00101</v>
      </c>
      <c r="K4" s="6">
        <v>0.00086</v>
      </c>
      <c r="M4" s="3" t="s">
        <v>9</v>
      </c>
      <c r="N4" s="4">
        <v>20</v>
      </c>
      <c r="O4" s="6">
        <v>0.00134</v>
      </c>
      <c r="P4" s="6">
        <v>0.00101</v>
      </c>
      <c r="Q4" s="6">
        <v>0.00086</v>
      </c>
      <c r="S4" s="3" t="s">
        <v>9</v>
      </c>
      <c r="T4" s="4">
        <v>20</v>
      </c>
      <c r="U4" s="6">
        <v>0.00134</v>
      </c>
      <c r="V4" s="6">
        <v>0.00101</v>
      </c>
      <c r="W4" s="6">
        <v>0.00086</v>
      </c>
    </row>
    <row r="5" customHeight="1" spans="1:23">
      <c r="A5" s="3" t="s">
        <v>124</v>
      </c>
      <c r="B5" s="4">
        <v>10</v>
      </c>
      <c r="C5" s="6">
        <v>0.0049</v>
      </c>
      <c r="D5" s="6">
        <v>0.0037</v>
      </c>
      <c r="E5" s="6">
        <v>0.0028</v>
      </c>
      <c r="G5" s="3" t="s">
        <v>124</v>
      </c>
      <c r="H5" s="4">
        <v>10</v>
      </c>
      <c r="I5" s="6">
        <v>0.0049</v>
      </c>
      <c r="J5" s="6">
        <v>0.0037</v>
      </c>
      <c r="K5" s="6">
        <v>0.0028</v>
      </c>
      <c r="M5" s="3" t="s">
        <v>124</v>
      </c>
      <c r="N5" s="4">
        <v>10</v>
      </c>
      <c r="O5" s="6">
        <v>0.0049</v>
      </c>
      <c r="P5" s="6">
        <v>0.0037</v>
      </c>
      <c r="Q5" s="6">
        <v>0.0028</v>
      </c>
      <c r="S5" s="3" t="s">
        <v>124</v>
      </c>
      <c r="T5" s="4">
        <v>10</v>
      </c>
      <c r="U5" s="6">
        <v>0.0049</v>
      </c>
      <c r="V5" s="6">
        <v>0.0037</v>
      </c>
      <c r="W5" s="6">
        <v>0.0028</v>
      </c>
    </row>
    <row r="6" customHeight="1" spans="1:23">
      <c r="A6" s="3" t="s">
        <v>11</v>
      </c>
      <c r="B6" s="4">
        <v>40</v>
      </c>
      <c r="C6" s="6">
        <v>0.85</v>
      </c>
      <c r="D6" s="6">
        <v>0.95</v>
      </c>
      <c r="E6" s="7">
        <v>1</v>
      </c>
      <c r="G6" s="3" t="s">
        <v>11</v>
      </c>
      <c r="H6" s="4">
        <v>40</v>
      </c>
      <c r="I6" s="6">
        <v>0.85</v>
      </c>
      <c r="J6" s="7">
        <v>0.95</v>
      </c>
      <c r="K6" s="7">
        <v>1</v>
      </c>
      <c r="M6" s="3" t="s">
        <v>11</v>
      </c>
      <c r="N6" s="4">
        <v>30</v>
      </c>
      <c r="O6" s="6">
        <v>0.85</v>
      </c>
      <c r="P6" s="7">
        <v>0.95</v>
      </c>
      <c r="Q6" s="7">
        <v>1</v>
      </c>
      <c r="S6" s="3" t="s">
        <v>11</v>
      </c>
      <c r="T6" s="4">
        <v>30</v>
      </c>
      <c r="U6" s="6">
        <v>0.85</v>
      </c>
      <c r="V6" s="7">
        <v>0.95</v>
      </c>
      <c r="W6" s="7">
        <v>1</v>
      </c>
    </row>
    <row r="11" customHeight="1" spans="1:23">
      <c r="A11" s="3" t="s">
        <v>7</v>
      </c>
      <c r="B11" s="1">
        <f>IF($B4="广州",配置!$C$2,IF($B4="深圳",配置!$I$2,IF($B4="上海",配置!$O$2,配置!$U$2)))</f>
        <v>0.88</v>
      </c>
      <c r="C11" s="1">
        <f>IF($B4="广州",配置!$D$2,IF($B4="深圳",配置!$J$2,IF($B4="上海",配置!$P$2,配置!$V$2)))</f>
        <v>0.93</v>
      </c>
      <c r="D11" s="1">
        <f>IF($B4="广州",配置!$E$2,IF($B4="深圳",配置!$K$2,IF($B4="上海",配置!$Q$2,配置!$W$2)))</f>
        <v>0.94</v>
      </c>
    </row>
    <row r="12" customHeight="1" spans="1:23">
      <c r="A12" s="3" t="s">
        <v>8</v>
      </c>
      <c r="B12" s="1">
        <f>IF($B4="广州",配置!$C$3,IF($B4="深圳",配置!$I$3,IF($B4="上海",配置!$O$3,配置!$U$3)))</f>
        <v>0.05</v>
      </c>
      <c r="C12" s="1">
        <f>IF($B4="广州",配置!$D$3,IF($B4="深圳",配置!$J$3,IF($B4="上海",配置!$P$3,配置!$V$3)))</f>
        <v>0.025</v>
      </c>
      <c r="D12" s="1">
        <f>IF($B4="广州",配置!$E$3,IF($B4="深圳",配置!$K$3,IF($B4="上海",配置!$Q$3,配置!$W$3)))</f>
        <v>0.015</v>
      </c>
    </row>
    <row r="13" customHeight="1" spans="1:23">
      <c r="A13" s="3" t="s">
        <v>9</v>
      </c>
      <c r="B13" s="1">
        <f>IF($B4="广州",配置!$C$4,IF($B4="深圳",配置!$I$4,IF($B4="上海",配置!$O$4,配置!$U$4)))</f>
        <v>0.00134</v>
      </c>
      <c r="C13" s="1">
        <f>IF($B4="广州",配置!$D$4,IF($B4="深圳",配置!$J$4,IF($B4="上海",配置!$P$4,配置!$V$4)))</f>
        <v>0.00101</v>
      </c>
      <c r="D13" s="1">
        <f>IF($B4="广州",配置!$E$4,IF($B4="深圳",配置!$K$4,IF($B4="上海",配置!$Q$4,配置!$W$4)))</f>
        <v>0.00086</v>
      </c>
    </row>
    <row r="14" customHeight="1" spans="1:23">
      <c r="A14" s="3" t="s">
        <v>124</v>
      </c>
      <c r="B14" s="1">
        <f>IF($B4="广州",配置!$C$5,IF($B4="深圳",配置!$I$5,IF($B4="上海",配置!$O$5,配置!$U$5)))</f>
        <v>0.0049</v>
      </c>
      <c r="C14" s="1">
        <f>IF($B4="广州",配置!$D$5,IF($B4="深圳",配置!$J$5,IF($B4="上海",配置!$P$5,配置!$V$5)))</f>
        <v>0.0037</v>
      </c>
      <c r="D14" s="1">
        <f>IF($B4="广州",配置!$E$5,IF($B4="深圳",配置!$K$5,IF($B4="上海",配置!$Q$5,配置!$W$5)))</f>
        <v>0.0028</v>
      </c>
    </row>
    <row r="15" customHeight="1" spans="1:23">
      <c r="A15" s="3" t="s">
        <v>11</v>
      </c>
      <c r="B15" s="1">
        <f>IF($B4="广州",配置!$C$6,IF($B4="深圳",配置!$I$6,IF($B4="上海",配置!$O$6,配置!$U$6)))</f>
        <v>0.85</v>
      </c>
      <c r="C15" s="1">
        <f>IF($B4="广州",配置!$D$6,IF($B4="深圳",配置!$J$6,IF($B4="上海",配置!$P$6,配置!$V$6)))</f>
        <v>0.95</v>
      </c>
      <c r="D15" s="1">
        <f>IF($B4="广州",配置!$E$6,IF($B4="深圳",配置!$K$6,IF($B4="上海",配置!$Q$6,配置!$W$6)))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站点</vt:lpstr>
      <vt:lpstr>区域</vt:lpstr>
      <vt:lpstr>站点-月</vt:lpstr>
      <vt:lpstr>T-1达成异常反馈</vt:lpstr>
      <vt:lpstr>KPI未达成优秀</vt:lpstr>
      <vt:lpstr>尾部站点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Tree</cp:lastModifiedBy>
  <dcterms:created xsi:type="dcterms:W3CDTF">2025-01-10T05:51:00Z</dcterms:created>
  <dcterms:modified xsi:type="dcterms:W3CDTF">2026-01-24T05:42:56Z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0B189D595A604C8286FE57F4855580FF_13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