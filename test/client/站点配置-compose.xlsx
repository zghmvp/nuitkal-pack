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14" windowHeight="12754" activeTab="1"/>
  </bookViews>
  <sheets>
    <sheet name="站点增改" sheetId="1" r:id="rId1"/>
    <sheet name="目标线安全线" sheetId="4" r:id="rId2"/>
    <sheet name="配置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<sst xmlns="http://schemas.openxmlformats.org/spreadsheetml/2006/main" count="252" uniqueCount="130">
  <si>
    <t>城市</t>
  </si>
  <si>
    <t>区域</t>
  </si>
  <si>
    <t>站点名称</t>
  </si>
  <si>
    <t>站点ID</t>
  </si>
  <si>
    <t>启用时间</t>
  </si>
  <si>
    <t>停用时间</t>
  </si>
  <si>
    <t>广州</t>
  </si>
  <si>
    <t>广州一区</t>
  </si>
  <si>
    <t>小象超市-天河黄村站-GZ0072</t>
  </si>
  <si>
    <t>10000213</t>
  </si>
  <si>
    <t>小象超市-东圃二站-GZ0080</t>
  </si>
  <si>
    <t>10000263</t>
  </si>
  <si>
    <t>小象超市-天河龙洞站-GZ0131</t>
  </si>
  <si>
    <t>10000642</t>
  </si>
  <si>
    <t>小象超市-天河东圃站-GZ0119</t>
  </si>
  <si>
    <t>10000552</t>
  </si>
  <si>
    <t>小象超市-天河员村站-GZ0147</t>
  </si>
  <si>
    <t>10000711</t>
  </si>
  <si>
    <t>小象超市-南沙金洲站-GZ0168</t>
  </si>
  <si>
    <t>10000809</t>
  </si>
  <si>
    <t>广州二区</t>
  </si>
  <si>
    <t>小象超市-南洲站-GZ0106</t>
  </si>
  <si>
    <t>10000477</t>
  </si>
  <si>
    <t>小象超市-海珠体育馆站-GZ0112</t>
  </si>
  <si>
    <t>10000520</t>
  </si>
  <si>
    <t>小象超市-沥滘站-GZ0118</t>
  </si>
  <si>
    <t>10000545</t>
  </si>
  <si>
    <t>小象超市-花地湾站-GZ0124</t>
  </si>
  <si>
    <t>10000578</t>
  </si>
  <si>
    <t>小象超市-龙溪中路站-GZ0137</t>
  </si>
  <si>
    <t>10000658</t>
  </si>
  <si>
    <t>广州三区</t>
  </si>
  <si>
    <t>小象超市-新市站-GZ0009</t>
  </si>
  <si>
    <t>331</t>
  </si>
  <si>
    <t>小象超市-太和站-GZ0093</t>
  </si>
  <si>
    <t>10000356</t>
  </si>
  <si>
    <t>小象超市-远景路站-GZ0114</t>
  </si>
  <si>
    <t>10000522</t>
  </si>
  <si>
    <t>小象超市-白云三元里站-GZ0155</t>
  </si>
  <si>
    <t>10000761</t>
  </si>
  <si>
    <t>小象超市-白云鹤边站-GZ0200</t>
  </si>
  <si>
    <t>10001450</t>
  </si>
  <si>
    <t>广州四区</t>
  </si>
  <si>
    <t>小象超市-昌岗站-GZ0101</t>
  </si>
  <si>
    <t>10000436</t>
  </si>
  <si>
    <t>小象超市-番禺沙湾站-GZ0160</t>
  </si>
  <si>
    <t>10000782</t>
  </si>
  <si>
    <t>小象超市-市南路站-GZ0143</t>
  </si>
  <si>
    <t>10000678</t>
  </si>
  <si>
    <t>小象超市-沙园站-GZ0031</t>
  </si>
  <si>
    <t>10000027</t>
  </si>
  <si>
    <t>深圳</t>
  </si>
  <si>
    <t>深圳一区</t>
  </si>
  <si>
    <t>小象超市-南油站-SZ0016</t>
  </si>
  <si>
    <t>215</t>
  </si>
  <si>
    <t>小象超市-长旺站-SZ0154</t>
  </si>
  <si>
    <t>10000437</t>
  </si>
  <si>
    <t>小象超市-福星站-SZ0156</t>
  </si>
  <si>
    <t>10000445</t>
  </si>
  <si>
    <t>小象超市-光辉站-SZ0282</t>
  </si>
  <si>
    <t>10001176</t>
  </si>
  <si>
    <t>小象超市-油联站-SZ0150</t>
  </si>
  <si>
    <t>10000388</t>
  </si>
  <si>
    <t>小象超市-灵芝站-SZ0289</t>
  </si>
  <si>
    <t>10001308</t>
  </si>
  <si>
    <t>深圳二区</t>
  </si>
  <si>
    <t>小象超市-翔鸽站-SZ0129</t>
  </si>
  <si>
    <t>10000272</t>
  </si>
  <si>
    <t>小象超市-蓝海站-SZ0221</t>
  </si>
  <si>
    <t>10000646</t>
  </si>
  <si>
    <t>小象超市-龙园站-SZ0177</t>
  </si>
  <si>
    <t>10000492</t>
  </si>
  <si>
    <t>小象超市-振环站-SZ0227</t>
  </si>
  <si>
    <t>10000669</t>
  </si>
  <si>
    <t>小象超市-大发站-SZ0276</t>
  </si>
  <si>
    <t>10001118</t>
  </si>
  <si>
    <t>小象超市-太安站-SZ0114</t>
  </si>
  <si>
    <t>10000195</t>
  </si>
  <si>
    <t>上海</t>
  </si>
  <si>
    <t>上海一区</t>
  </si>
  <si>
    <t>小象超市-云山路站-SH0105</t>
  </si>
  <si>
    <t>10000243</t>
  </si>
  <si>
    <t>小象超市-浦建路站-SH0140</t>
  </si>
  <si>
    <t>10000562</t>
  </si>
  <si>
    <t>小象超市-金海路站-SH0203</t>
  </si>
  <si>
    <t>10000890</t>
  </si>
  <si>
    <t>小象超市-浦三路站-SH0138</t>
  </si>
  <si>
    <t>10000550</t>
  </si>
  <si>
    <t>上海二区</t>
  </si>
  <si>
    <t>小象超市-新二路二站-SH0111</t>
  </si>
  <si>
    <t>10000288</t>
  </si>
  <si>
    <t>小象超市-月罗路站-SH0156</t>
  </si>
  <si>
    <t>10000652</t>
  </si>
  <si>
    <t>小象超市-杨盛路站-SH0226</t>
  </si>
  <si>
    <t>10001219</t>
  </si>
  <si>
    <t>小象超市-丰镇路站-SH0229</t>
  </si>
  <si>
    <t>10001263</t>
  </si>
  <si>
    <t>上海三区</t>
  </si>
  <si>
    <t>小象超市-平陆路站-SH0097</t>
  </si>
  <si>
    <t>10000192</t>
  </si>
  <si>
    <t>小象超市-新川路二站-SH0116</t>
  </si>
  <si>
    <t>10000366</t>
  </si>
  <si>
    <t>小象超市-新会路站-SH0130</t>
  </si>
  <si>
    <t>10000529</t>
  </si>
  <si>
    <t>小象超市-金沙江路站-SH0171</t>
  </si>
  <si>
    <t>10000744</t>
  </si>
  <si>
    <t>上海四区</t>
  </si>
  <si>
    <t>小象超市-曹安路站-SH0020</t>
  </si>
  <si>
    <t>127</t>
  </si>
  <si>
    <t>小象超市-汇川路站-SH0132</t>
  </si>
  <si>
    <t>10000535</t>
  </si>
  <si>
    <t>小象超市-凯旋北路站-SH0137</t>
  </si>
  <si>
    <t>10000549</t>
  </si>
  <si>
    <t>小象超市-五莲路站-SH0214</t>
  </si>
  <si>
    <t>10000940</t>
  </si>
  <si>
    <t>惠州</t>
  </si>
  <si>
    <t>惠州区</t>
  </si>
  <si>
    <t>小象超市-淡水站-HZ1001</t>
  </si>
  <si>
    <t>10001042</t>
  </si>
  <si>
    <t>小象超市-龙盛站-HZ1003</t>
  </si>
  <si>
    <t>10001106</t>
  </si>
  <si>
    <t>小象超市-港惠站-HZ1002</t>
  </si>
  <si>
    <t>10001065</t>
  </si>
  <si>
    <t>日期</t>
  </si>
  <si>
    <t>督导</t>
  </si>
  <si>
    <t>站点难度</t>
  </si>
  <si>
    <t>目标线</t>
  </si>
  <si>
    <t>安全线</t>
  </si>
  <si>
    <t>城市ID</t>
  </si>
  <si>
    <t>区域ID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</si>
</sst>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m&quot;月&quot;"/>
    <numFmt numFmtId="177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6" borderId="5">
      <alignment vertical="center"/>
    </xf>
    <xf numFmtId="0" fontId="12" fillId="7" borderId="6">
      <alignment vertical="center"/>
    </xf>
    <xf numFmtId="0" fontId="13" fillId="7" borderId="5">
      <alignment vertical="center"/>
    </xf>
    <xf numFmtId="0" fontId="14" fillId="8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8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1" fillId="0" borderId="0" xfId="0" applyFont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1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4"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2" defaultPivotStyle="PivotStyleLight16">
    <tableStyle name="中色系标题行表格样式_1201b3" count="10" xr9:uid="{D412F016-E518-4636-A314-BCE103EA8AA6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  <tableStyleElement type="secondColumnStripe" dxfId="6"/>
      <tableStyleElement type="firstTotalCell" dxfId="5"/>
      <tableStyleElement type="lastTotalCell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城市区域" displayName="城市区域" ref="G1:J5" totalsRowShown="0">
  <tableColumns count="4">
    <tableColumn id="1" name="广州" dataDxfId="0"/>
    <tableColumn id="2" name="深圳" dataDxfId="1"/>
    <tableColumn id="3" name="上海" dataDxfId="2"/>
    <tableColumn id="4" name="惠州" dataDxfId="3"/>
  </tableColumns>
  <tableStyleInfo name="中色系标题行表格样式_1201b3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workbookViewId="0">
      <selection activeCell="F11" sqref="F11"/>
    </sheetView>
  </sheetViews>
  <sheetFormatPr defaultColWidth="8.61261261261261" defaultRowHeight="17" customHeight="1" outlineLevelCol="5"/>
  <cols>
    <col min="1" max="1" width="9.5045045045045" style="13" customWidth="1"/>
    <col min="2" max="2" width="11.8828828828829" style="13" customWidth="1"/>
    <col min="3" max="3" width="34.8288288288288" style="13" customWidth="1"/>
    <col min="4" max="4" width="18.2972972972973" style="13" customWidth="1"/>
    <col min="5" max="6" width="13.045045045045" style="14" customWidth="1"/>
  </cols>
  <sheetData>
    <row r="1" s="8" customFormat="1" ht="21" customHeight="1" spans="1:6">
      <c r="A1" s="15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7" t="s">
        <v>5</v>
      </c>
    </row>
    <row r="2" customFormat="1" customHeight="1" spans="1:6">
      <c r="A2" s="13" t="s">
        <v>6</v>
      </c>
      <c r="B2" s="13" t="s">
        <v>7</v>
      </c>
      <c r="C2" s="13" t="s">
        <v>8</v>
      </c>
      <c r="D2" s="13" t="s">
        <v>9</v>
      </c>
      <c r="E2" s="14">
        <v>45658</v>
      </c>
      <c r="F2" s="14"/>
    </row>
    <row r="3" customFormat="1" customHeight="1" spans="1:6">
      <c r="A3" s="13" t="s">
        <v>6</v>
      </c>
      <c r="B3" s="13" t="s">
        <v>7</v>
      </c>
      <c r="C3" s="13" t="s">
        <v>10</v>
      </c>
      <c r="D3" s="13" t="s">
        <v>11</v>
      </c>
      <c r="E3" s="14">
        <v>45658</v>
      </c>
      <c r="F3" s="14"/>
    </row>
    <row r="4" customFormat="1" customHeight="1" spans="1:6">
      <c r="A4" s="13" t="s">
        <v>6</v>
      </c>
      <c r="B4" s="13" t="s">
        <v>7</v>
      </c>
      <c r="C4" s="13" t="s">
        <v>12</v>
      </c>
      <c r="D4" s="13" t="s">
        <v>13</v>
      </c>
      <c r="E4" s="14">
        <v>45658</v>
      </c>
      <c r="F4" s="14"/>
    </row>
    <row r="5" customFormat="1" customHeight="1" spans="1:6">
      <c r="A5" s="13" t="s">
        <v>6</v>
      </c>
      <c r="B5" s="13" t="s">
        <v>7</v>
      </c>
      <c r="C5" s="13" t="s">
        <v>14</v>
      </c>
      <c r="D5" s="13" t="s">
        <v>15</v>
      </c>
      <c r="E5" s="14">
        <v>45658</v>
      </c>
      <c r="F5" s="14"/>
    </row>
    <row r="6" customFormat="1" customHeight="1" spans="1:6">
      <c r="A6" s="13" t="s">
        <v>6</v>
      </c>
      <c r="B6" s="13" t="s">
        <v>7</v>
      </c>
      <c r="C6" s="13" t="s">
        <v>16</v>
      </c>
      <c r="D6" s="13" t="s">
        <v>17</v>
      </c>
      <c r="E6" s="14">
        <v>45658</v>
      </c>
      <c r="F6" s="14"/>
    </row>
    <row r="7" customFormat="1" customHeight="1" spans="1:6">
      <c r="A7" s="13" t="s">
        <v>6</v>
      </c>
      <c r="B7" s="13" t="s">
        <v>7</v>
      </c>
      <c r="C7" s="13" t="s">
        <v>18</v>
      </c>
      <c r="D7" s="13" t="s">
        <v>19</v>
      </c>
      <c r="E7" s="14">
        <v>45658</v>
      </c>
      <c r="F7" s="14"/>
    </row>
    <row r="8" customFormat="1" customHeight="1" spans="1:6">
      <c r="A8" s="13" t="s">
        <v>6</v>
      </c>
      <c r="B8" s="13" t="s">
        <v>20</v>
      </c>
      <c r="C8" s="13" t="s">
        <v>21</v>
      </c>
      <c r="D8" s="13" t="s">
        <v>22</v>
      </c>
      <c r="E8" s="14">
        <v>45658</v>
      </c>
      <c r="F8" s="14"/>
    </row>
    <row r="9" customFormat="1" customHeight="1" spans="1:6">
      <c r="A9" s="13" t="s">
        <v>6</v>
      </c>
      <c r="B9" s="13" t="s">
        <v>20</v>
      </c>
      <c r="C9" s="13" t="s">
        <v>23</v>
      </c>
      <c r="D9" s="13" t="s">
        <v>24</v>
      </c>
      <c r="E9" s="14">
        <v>45658</v>
      </c>
      <c r="F9" s="14"/>
    </row>
    <row r="10" customFormat="1" customHeight="1" spans="1:6">
      <c r="A10" s="13" t="s">
        <v>6</v>
      </c>
      <c r="B10" s="13" t="s">
        <v>20</v>
      </c>
      <c r="C10" s="13" t="s">
        <v>25</v>
      </c>
      <c r="D10" s="13" t="s">
        <v>26</v>
      </c>
      <c r="E10" s="14">
        <v>45658</v>
      </c>
      <c r="F10" s="14"/>
    </row>
    <row r="11" customFormat="1" customHeight="1" spans="1:6">
      <c r="A11" s="13" t="s">
        <v>6</v>
      </c>
      <c r="B11" s="13" t="s">
        <v>20</v>
      </c>
      <c r="C11" s="13" t="s">
        <v>27</v>
      </c>
      <c r="D11" s="13" t="s">
        <v>28</v>
      </c>
      <c r="E11" s="14">
        <v>45658</v>
      </c>
      <c r="F11" s="14"/>
    </row>
    <row r="12" customFormat="1" customHeight="1" spans="1:6">
      <c r="A12" s="13" t="s">
        <v>6</v>
      </c>
      <c r="B12" s="13" t="s">
        <v>20</v>
      </c>
      <c r="C12" s="13" t="s">
        <v>29</v>
      </c>
      <c r="D12" s="13" t="s">
        <v>30</v>
      </c>
      <c r="E12" s="14">
        <v>45658</v>
      </c>
      <c r="F12" s="14"/>
    </row>
    <row r="13" customFormat="1" customHeight="1" spans="1:6">
      <c r="A13" s="13" t="s">
        <v>6</v>
      </c>
      <c r="B13" s="13" t="s">
        <v>31</v>
      </c>
      <c r="C13" s="13" t="s">
        <v>32</v>
      </c>
      <c r="D13" s="13" t="s">
        <v>33</v>
      </c>
      <c r="E13" s="14">
        <v>45658</v>
      </c>
      <c r="F13" s="14"/>
    </row>
    <row r="14" customFormat="1" customHeight="1" spans="1:6">
      <c r="A14" s="13" t="s">
        <v>6</v>
      </c>
      <c r="B14" s="13" t="s">
        <v>31</v>
      </c>
      <c r="C14" s="13" t="s">
        <v>34</v>
      </c>
      <c r="D14" s="13" t="s">
        <v>35</v>
      </c>
      <c r="E14" s="14">
        <v>45658</v>
      </c>
      <c r="F14" s="14"/>
    </row>
    <row r="15" customFormat="1" customHeight="1" spans="1:6">
      <c r="A15" s="13" t="s">
        <v>6</v>
      </c>
      <c r="B15" s="13" t="s">
        <v>31</v>
      </c>
      <c r="C15" s="13" t="s">
        <v>36</v>
      </c>
      <c r="D15" s="13" t="s">
        <v>37</v>
      </c>
      <c r="E15" s="14">
        <v>45658</v>
      </c>
      <c r="F15" s="14"/>
    </row>
    <row r="16" customFormat="1" customHeight="1" spans="1:6">
      <c r="A16" s="13" t="s">
        <v>6</v>
      </c>
      <c r="B16" s="13" t="s">
        <v>31</v>
      </c>
      <c r="C16" s="13" t="s">
        <v>38</v>
      </c>
      <c r="D16" s="13" t="s">
        <v>39</v>
      </c>
      <c r="E16" s="14">
        <v>45658</v>
      </c>
      <c r="F16" s="14"/>
    </row>
    <row r="17" customFormat="1" customHeight="1" spans="1:6">
      <c r="A17" s="13" t="s">
        <v>6</v>
      </c>
      <c r="B17" s="13" t="s">
        <v>31</v>
      </c>
      <c r="C17" s="13" t="s">
        <v>40</v>
      </c>
      <c r="D17" s="13" t="s">
        <v>41</v>
      </c>
      <c r="E17" s="14">
        <v>45658</v>
      </c>
      <c r="F17" s="14"/>
    </row>
    <row r="18" customFormat="1" customHeight="1" spans="1:6">
      <c r="A18" s="13" t="s">
        <v>6</v>
      </c>
      <c r="B18" s="13" t="s">
        <v>42</v>
      </c>
      <c r="C18" s="13" t="s">
        <v>43</v>
      </c>
      <c r="D18" s="13" t="s">
        <v>44</v>
      </c>
      <c r="E18" s="14">
        <v>45658</v>
      </c>
      <c r="F18" s="14"/>
    </row>
    <row r="19" customFormat="1" customHeight="1" spans="1:6">
      <c r="A19" s="13" t="s">
        <v>6</v>
      </c>
      <c r="B19" s="13" t="s">
        <v>42</v>
      </c>
      <c r="C19" s="13" t="s">
        <v>45</v>
      </c>
      <c r="D19" s="13" t="s">
        <v>46</v>
      </c>
      <c r="E19" s="14">
        <v>45658</v>
      </c>
      <c r="F19" s="14"/>
    </row>
    <row r="20" customFormat="1" customHeight="1" spans="1:6">
      <c r="A20" s="13" t="s">
        <v>6</v>
      </c>
      <c r="B20" s="13" t="s">
        <v>42</v>
      </c>
      <c r="C20" s="13" t="s">
        <v>47</v>
      </c>
      <c r="D20" s="13" t="s">
        <v>48</v>
      </c>
      <c r="E20" s="14">
        <v>45658</v>
      </c>
      <c r="F20" s="14"/>
    </row>
    <row r="21" customFormat="1" customHeight="1" spans="1:6">
      <c r="A21" s="13" t="s">
        <v>6</v>
      </c>
      <c r="B21" s="13" t="s">
        <v>42</v>
      </c>
      <c r="C21" s="13" t="s">
        <v>49</v>
      </c>
      <c r="D21" s="13" t="s">
        <v>50</v>
      </c>
      <c r="E21" s="14">
        <v>45658</v>
      </c>
      <c r="F21" s="14"/>
    </row>
    <row r="22" customFormat="1" customHeight="1" spans="1:6">
      <c r="A22" s="13" t="s">
        <v>51</v>
      </c>
      <c r="B22" s="13" t="s">
        <v>52</v>
      </c>
      <c r="C22" s="13" t="s">
        <v>53</v>
      </c>
      <c r="D22" s="13" t="s">
        <v>54</v>
      </c>
      <c r="E22" s="14">
        <v>45658</v>
      </c>
      <c r="F22" s="14"/>
    </row>
    <row r="23" customFormat="1" customHeight="1" spans="1:6">
      <c r="A23" s="13" t="s">
        <v>51</v>
      </c>
      <c r="B23" s="13" t="s">
        <v>52</v>
      </c>
      <c r="C23" s="13" t="s">
        <v>55</v>
      </c>
      <c r="D23" s="13" t="s">
        <v>56</v>
      </c>
      <c r="E23" s="14">
        <v>45658</v>
      </c>
      <c r="F23" s="14"/>
    </row>
    <row r="24" customFormat="1" customHeight="1" spans="1:6">
      <c r="A24" s="13" t="s">
        <v>51</v>
      </c>
      <c r="B24" s="13" t="s">
        <v>52</v>
      </c>
      <c r="C24" s="13" t="s">
        <v>57</v>
      </c>
      <c r="D24" s="13" t="s">
        <v>58</v>
      </c>
      <c r="E24" s="14">
        <v>45658</v>
      </c>
      <c r="F24" s="14"/>
    </row>
    <row r="25" customFormat="1" customHeight="1" spans="1:6">
      <c r="A25" s="13" t="s">
        <v>51</v>
      </c>
      <c r="B25" s="13" t="s">
        <v>52</v>
      </c>
      <c r="C25" s="13" t="s">
        <v>59</v>
      </c>
      <c r="D25" s="13" t="s">
        <v>60</v>
      </c>
      <c r="E25" s="14">
        <v>45658</v>
      </c>
      <c r="F25" s="14"/>
    </row>
    <row r="26" customFormat="1" customHeight="1" spans="1:6">
      <c r="A26" s="13" t="s">
        <v>51</v>
      </c>
      <c r="B26" s="13" t="s">
        <v>52</v>
      </c>
      <c r="C26" s="13" t="s">
        <v>61</v>
      </c>
      <c r="D26" s="13" t="s">
        <v>62</v>
      </c>
      <c r="E26" s="14">
        <v>45658</v>
      </c>
      <c r="F26" s="14"/>
    </row>
    <row r="27" customFormat="1" customHeight="1" spans="1:6">
      <c r="A27" s="13" t="s">
        <v>51</v>
      </c>
      <c r="B27" s="13" t="s">
        <v>52</v>
      </c>
      <c r="C27" s="13" t="s">
        <v>63</v>
      </c>
      <c r="D27" s="13" t="s">
        <v>64</v>
      </c>
      <c r="E27" s="14">
        <v>45658</v>
      </c>
      <c r="F27" s="14"/>
    </row>
    <row r="28" customFormat="1" customHeight="1" spans="1:6">
      <c r="A28" s="13" t="s">
        <v>51</v>
      </c>
      <c r="B28" s="13" t="s">
        <v>65</v>
      </c>
      <c r="C28" s="13" t="s">
        <v>66</v>
      </c>
      <c r="D28" s="13" t="s">
        <v>67</v>
      </c>
      <c r="E28" s="14">
        <v>45658</v>
      </c>
      <c r="F28" s="14"/>
    </row>
    <row r="29" customFormat="1" customHeight="1" spans="1:6">
      <c r="A29" s="13" t="s">
        <v>51</v>
      </c>
      <c r="B29" s="13" t="s">
        <v>65</v>
      </c>
      <c r="C29" s="13" t="s">
        <v>68</v>
      </c>
      <c r="D29" s="13" t="s">
        <v>69</v>
      </c>
      <c r="E29" s="14">
        <v>45658</v>
      </c>
      <c r="F29" s="14"/>
    </row>
    <row r="30" customFormat="1" customHeight="1" spans="1:6">
      <c r="A30" s="13" t="s">
        <v>51</v>
      </c>
      <c r="B30" s="13" t="s">
        <v>65</v>
      </c>
      <c r="C30" s="13" t="s">
        <v>70</v>
      </c>
      <c r="D30" s="13" t="s">
        <v>71</v>
      </c>
      <c r="E30" s="14">
        <v>45658</v>
      </c>
      <c r="F30" s="14"/>
    </row>
    <row r="31" customFormat="1" customHeight="1" spans="1:6">
      <c r="A31" s="13" t="s">
        <v>51</v>
      </c>
      <c r="B31" s="13" t="s">
        <v>65</v>
      </c>
      <c r="C31" s="13" t="s">
        <v>72</v>
      </c>
      <c r="D31" s="13" t="s">
        <v>73</v>
      </c>
      <c r="E31" s="14">
        <v>45658</v>
      </c>
      <c r="F31" s="14"/>
    </row>
    <row r="32" customFormat="1" customHeight="1" spans="1:6">
      <c r="A32" s="13" t="s">
        <v>51</v>
      </c>
      <c r="B32" s="13" t="s">
        <v>65</v>
      </c>
      <c r="C32" s="13" t="s">
        <v>74</v>
      </c>
      <c r="D32" s="13" t="s">
        <v>75</v>
      </c>
      <c r="E32" s="14">
        <v>45658</v>
      </c>
      <c r="F32" s="14"/>
    </row>
    <row r="33" customFormat="1" customHeight="1" spans="1:6">
      <c r="A33" s="13" t="s">
        <v>51</v>
      </c>
      <c r="B33" s="13" t="s">
        <v>65</v>
      </c>
      <c r="C33" s="13" t="s">
        <v>76</v>
      </c>
      <c r="D33" s="13" t="s">
        <v>77</v>
      </c>
      <c r="E33" s="14">
        <v>45658</v>
      </c>
      <c r="F33" s="14"/>
    </row>
    <row r="34" customFormat="1" customHeight="1" spans="1:6">
      <c r="A34" s="13" t="s">
        <v>78</v>
      </c>
      <c r="B34" s="13" t="s">
        <v>79</v>
      </c>
      <c r="C34" s="13" t="s">
        <v>80</v>
      </c>
      <c r="D34" s="13" t="s">
        <v>81</v>
      </c>
      <c r="E34" s="14">
        <v>45658</v>
      </c>
      <c r="F34" s="14"/>
    </row>
    <row r="35" customFormat="1" customHeight="1" spans="1:6">
      <c r="A35" s="13" t="s">
        <v>78</v>
      </c>
      <c r="B35" s="13" t="s">
        <v>79</v>
      </c>
      <c r="C35" s="13" t="s">
        <v>82</v>
      </c>
      <c r="D35" s="13" t="s">
        <v>83</v>
      </c>
      <c r="E35" s="14">
        <v>45658</v>
      </c>
      <c r="F35" s="14"/>
    </row>
    <row r="36" customFormat="1" customHeight="1" spans="1:6">
      <c r="A36" s="13" t="s">
        <v>78</v>
      </c>
      <c r="B36" s="13" t="s">
        <v>79</v>
      </c>
      <c r="C36" s="13" t="s">
        <v>84</v>
      </c>
      <c r="D36" s="13" t="s">
        <v>85</v>
      </c>
      <c r="E36" s="14">
        <v>45658</v>
      </c>
      <c r="F36" s="14"/>
    </row>
    <row r="37" customFormat="1" customHeight="1" spans="1:6">
      <c r="A37" s="13" t="s">
        <v>78</v>
      </c>
      <c r="B37" s="13" t="s">
        <v>79</v>
      </c>
      <c r="C37" s="13" t="s">
        <v>86</v>
      </c>
      <c r="D37" s="13" t="s">
        <v>87</v>
      </c>
      <c r="E37" s="14">
        <v>45658</v>
      </c>
      <c r="F37" s="14"/>
    </row>
    <row r="38" customFormat="1" customHeight="1" spans="1:6">
      <c r="A38" s="13" t="s">
        <v>78</v>
      </c>
      <c r="B38" s="13" t="s">
        <v>88</v>
      </c>
      <c r="C38" s="13" t="s">
        <v>89</v>
      </c>
      <c r="D38" s="13" t="s">
        <v>90</v>
      </c>
      <c r="E38" s="14">
        <v>45658</v>
      </c>
      <c r="F38" s="14"/>
    </row>
    <row r="39" customFormat="1" customHeight="1" spans="1:6">
      <c r="A39" s="13" t="s">
        <v>78</v>
      </c>
      <c r="B39" s="13" t="s">
        <v>88</v>
      </c>
      <c r="C39" s="13" t="s">
        <v>91</v>
      </c>
      <c r="D39" s="13" t="s">
        <v>92</v>
      </c>
      <c r="E39" s="14">
        <v>45658</v>
      </c>
      <c r="F39" s="14"/>
    </row>
    <row r="40" customFormat="1" customHeight="1" spans="1:6">
      <c r="A40" s="13" t="s">
        <v>78</v>
      </c>
      <c r="B40" s="13" t="s">
        <v>88</v>
      </c>
      <c r="C40" s="13" t="s">
        <v>93</v>
      </c>
      <c r="D40" s="13" t="s">
        <v>94</v>
      </c>
      <c r="E40" s="14">
        <v>45658</v>
      </c>
      <c r="F40" s="14"/>
    </row>
    <row r="41" customFormat="1" customHeight="1" spans="1:6">
      <c r="A41" s="13" t="s">
        <v>78</v>
      </c>
      <c r="B41" s="13" t="s">
        <v>88</v>
      </c>
      <c r="C41" s="13" t="s">
        <v>95</v>
      </c>
      <c r="D41" s="13" t="s">
        <v>96</v>
      </c>
      <c r="E41" s="14">
        <v>45658</v>
      </c>
      <c r="F41" s="14"/>
    </row>
    <row r="42" customFormat="1" customHeight="1" spans="1:6">
      <c r="A42" s="13" t="s">
        <v>78</v>
      </c>
      <c r="B42" s="13" t="s">
        <v>97</v>
      </c>
      <c r="C42" s="13" t="s">
        <v>98</v>
      </c>
      <c r="D42" s="13" t="s">
        <v>99</v>
      </c>
      <c r="E42" s="14">
        <v>45658</v>
      </c>
      <c r="F42" s="14"/>
    </row>
    <row r="43" customFormat="1" customHeight="1" spans="1:6">
      <c r="A43" s="13" t="s">
        <v>78</v>
      </c>
      <c r="B43" s="13" t="s">
        <v>97</v>
      </c>
      <c r="C43" s="13" t="s">
        <v>100</v>
      </c>
      <c r="D43" s="13" t="s">
        <v>101</v>
      </c>
      <c r="E43" s="14">
        <v>45658</v>
      </c>
      <c r="F43" s="14"/>
    </row>
    <row r="44" customFormat="1" customHeight="1" spans="1:6">
      <c r="A44" s="13" t="s">
        <v>78</v>
      </c>
      <c r="B44" s="13" t="s">
        <v>97</v>
      </c>
      <c r="C44" s="13" t="s">
        <v>102</v>
      </c>
      <c r="D44" s="13" t="s">
        <v>103</v>
      </c>
      <c r="E44" s="14">
        <v>45658</v>
      </c>
      <c r="F44" s="14"/>
    </row>
    <row r="45" customFormat="1" customHeight="1" spans="1:6">
      <c r="A45" s="13" t="s">
        <v>78</v>
      </c>
      <c r="B45" s="13" t="s">
        <v>97</v>
      </c>
      <c r="C45" s="13" t="s">
        <v>104</v>
      </c>
      <c r="D45" s="13" t="s">
        <v>105</v>
      </c>
      <c r="E45" s="14">
        <v>45658</v>
      </c>
      <c r="F45" s="14"/>
    </row>
    <row r="46" customFormat="1" customHeight="1" spans="1:6">
      <c r="A46" s="13" t="s">
        <v>78</v>
      </c>
      <c r="B46" s="13" t="s">
        <v>106</v>
      </c>
      <c r="C46" s="13" t="s">
        <v>107</v>
      </c>
      <c r="D46" s="13" t="s">
        <v>108</v>
      </c>
      <c r="E46" s="14">
        <v>45658</v>
      </c>
      <c r="F46" s="14"/>
    </row>
    <row r="47" customFormat="1" customHeight="1" spans="1:6">
      <c r="A47" s="13" t="s">
        <v>78</v>
      </c>
      <c r="B47" s="13" t="s">
        <v>106</v>
      </c>
      <c r="C47" s="13" t="s">
        <v>109</v>
      </c>
      <c r="D47" s="13" t="s">
        <v>110</v>
      </c>
      <c r="E47" s="14">
        <v>45658</v>
      </c>
      <c r="F47" s="14"/>
    </row>
    <row r="48" customFormat="1" customHeight="1" spans="1:6">
      <c r="A48" s="13" t="s">
        <v>78</v>
      </c>
      <c r="B48" s="13" t="s">
        <v>106</v>
      </c>
      <c r="C48" s="13" t="s">
        <v>111</v>
      </c>
      <c r="D48" s="13" t="s">
        <v>112</v>
      </c>
      <c r="E48" s="14">
        <v>45658</v>
      </c>
      <c r="F48" s="14"/>
    </row>
    <row r="49" customFormat="1" customHeight="1" spans="1:6">
      <c r="A49" s="13" t="s">
        <v>78</v>
      </c>
      <c r="B49" s="13" t="s">
        <v>106</v>
      </c>
      <c r="C49" s="13" t="s">
        <v>113</v>
      </c>
      <c r="D49" s="13" t="s">
        <v>114</v>
      </c>
      <c r="E49" s="14">
        <v>45658</v>
      </c>
      <c r="F49" s="14"/>
    </row>
    <row r="50" customFormat="1" customHeight="1" spans="1:6">
      <c r="A50" s="13" t="s">
        <v>115</v>
      </c>
      <c r="B50" s="13" t="s">
        <v>116</v>
      </c>
      <c r="C50" s="13" t="s">
        <v>117</v>
      </c>
      <c r="D50" s="13" t="s">
        <v>118</v>
      </c>
      <c r="E50" s="14">
        <v>45658</v>
      </c>
      <c r="F50" s="14"/>
    </row>
    <row r="51" customFormat="1" customHeight="1" spans="1:6">
      <c r="A51" s="13" t="s">
        <v>115</v>
      </c>
      <c r="B51" s="13" t="s">
        <v>116</v>
      </c>
      <c r="C51" s="13" t="s">
        <v>119</v>
      </c>
      <c r="D51" s="13" t="s">
        <v>120</v>
      </c>
      <c r="E51" s="14">
        <v>45658</v>
      </c>
      <c r="F51" s="14"/>
    </row>
    <row r="52" customFormat="1" customHeight="1" spans="1:6">
      <c r="A52" s="13" t="s">
        <v>115</v>
      </c>
      <c r="B52" s="13" t="s">
        <v>116</v>
      </c>
      <c r="C52" s="13" t="s">
        <v>121</v>
      </c>
      <c r="D52" s="13" t="s">
        <v>122</v>
      </c>
      <c r="E52" s="14">
        <v>45658</v>
      </c>
      <c r="F52" s="14"/>
    </row>
  </sheetData>
  <dataValidations count="2">
    <dataValidation type="list" allowBlank="1" showInputMessage="1" showErrorMessage="1" sqref="A2:A1048576">
      <formula1>INDIRECT("城市区域[#标题]")</formula1>
    </dataValidation>
    <dataValidation type="list" allowBlank="1" showInputMessage="1" showErrorMessage="1" sqref="B2:B1048576">
      <formula1>INDIRECT("城市区域["&amp;$A2&amp;"]")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topLeftCell="A31" workbookViewId="0">
      <selection activeCell="C53" sqref="C53"/>
    </sheetView>
  </sheetViews>
  <sheetFormatPr defaultColWidth="8.61261261261261" defaultRowHeight="17" customHeight="1" outlineLevelCol="7"/>
  <cols>
    <col min="1" max="1" width="9.5045045045045" style="6" customWidth="1"/>
    <col min="2" max="2" width="11.8828828828829" style="6" customWidth="1"/>
    <col min="3" max="3" width="32.036036036036" style="6" customWidth="1"/>
    <col min="4" max="4" width="12.3423423423423" style="9" customWidth="1"/>
    <col min="5" max="5" width="10.3423423423423" style="6" customWidth="1"/>
    <col min="6" max="6" width="10.018018018018" style="6" customWidth="1"/>
    <col min="7" max="8" width="7.85585585585586" style="6" customWidth="1"/>
  </cols>
  <sheetData>
    <row r="1" s="8" customFormat="1" ht="21" customHeight="1" spans="1:8">
      <c r="A1" s="10" t="s">
        <v>0</v>
      </c>
      <c r="B1" s="10" t="s">
        <v>1</v>
      </c>
      <c r="C1" s="10" t="s">
        <v>2</v>
      </c>
      <c r="D1" s="11" t="s">
        <v>123</v>
      </c>
      <c r="E1" s="12" t="s">
        <v>124</v>
      </c>
      <c r="F1" s="12" t="s">
        <v>125</v>
      </c>
      <c r="G1" s="12" t="s">
        <v>126</v>
      </c>
      <c r="H1" s="12" t="s">
        <v>127</v>
      </c>
    </row>
    <row r="2" customHeight="1" spans="1:8">
      <c r="A2" s="6" t="str" cm="1">
        <f t="array" ref="A2:A52">IF(_xlfn.ANCHORARRAY($C2)="","",_xlfn.XLOOKUP(_xlfn.ANCHORARRAY($C2),站点增改!$C:$C,站点增改!A:A,))</f>
        <v>广州</v>
      </c>
      <c r="B2" s="6" t="str" cm="1">
        <f t="array" ref="B2:B52">IF(_xlfn.ANCHORARRAY($C2)="","",_xlfn.XLOOKUP(_xlfn.ANCHORARRAY($C2),站点增改!$C:$C,站点增改!B:B,))</f>
        <v>广州一区</v>
      </c>
      <c r="C2" s="6" t="str" cm="1">
        <f t="array" ref="C2:C52">_xlfn.UNIQUE(_xlfn._xlws.FILTER(站点增改!C:C,(站点增改!$F:$F="")*(站点增改!C:C&lt;&gt;"")))</f>
        <v>小象超市-天河黄村站-GZ0072</v>
      </c>
    </row>
    <row r="3" customHeight="1" spans="1:8">
      <c r="A3" s="6" t="str">
        <v>广州</v>
      </c>
      <c r="B3" s="6" t="str">
        <v>广州一区</v>
      </c>
      <c r="C3" s="6" t="str">
        <v>小象超市-东圃二站-GZ0080</v>
      </c>
    </row>
    <row r="4" customHeight="1" spans="1:8">
      <c r="A4" s="6" t="str">
        <v>广州</v>
      </c>
      <c r="B4" s="6" t="str">
        <v>广州一区</v>
      </c>
      <c r="C4" s="6" t="str">
        <v>小象超市-天河龙洞站-GZ0131</v>
      </c>
    </row>
    <row r="5" customHeight="1" spans="1:8">
      <c r="A5" s="6" t="str">
        <v>广州</v>
      </c>
      <c r="B5" s="6" t="str">
        <v>广州一区</v>
      </c>
      <c r="C5" s="6" t="str">
        <v>小象超市-天河东圃站-GZ0119</v>
      </c>
    </row>
    <row r="6" customHeight="1" spans="1:8">
      <c r="A6" s="6" t="str">
        <v>广州</v>
      </c>
      <c r="B6" s="6" t="str">
        <v>广州一区</v>
      </c>
      <c r="C6" s="6" t="str">
        <v>小象超市-天河员村站-GZ0147</v>
      </c>
    </row>
    <row r="7" customHeight="1" spans="1:8">
      <c r="A7" s="6" t="str">
        <v>广州</v>
      </c>
      <c r="B7" s="6" t="str">
        <v>广州一区</v>
      </c>
      <c r="C7" s="6" t="str">
        <v>小象超市-南沙金洲站-GZ0168</v>
      </c>
    </row>
    <row r="8" customHeight="1" spans="1:8">
      <c r="A8" s="6" t="str">
        <v>广州</v>
      </c>
      <c r="B8" s="6" t="str">
        <v>广州二区</v>
      </c>
      <c r="C8" s="6" t="str">
        <v>小象超市-南洲站-GZ0106</v>
      </c>
    </row>
    <row r="9" customHeight="1" spans="1:8">
      <c r="A9" s="6" t="str">
        <v>广州</v>
      </c>
      <c r="B9" s="6" t="str">
        <v>广州二区</v>
      </c>
      <c r="C9" s="6" t="str">
        <v>小象超市-海珠体育馆站-GZ0112</v>
      </c>
    </row>
    <row r="10" customHeight="1" spans="1:8">
      <c r="A10" s="6" t="str">
        <v>广州</v>
      </c>
      <c r="B10" s="6" t="str">
        <v>广州二区</v>
      </c>
      <c r="C10" s="6" t="str">
        <v>小象超市-沥滘站-GZ0118</v>
      </c>
    </row>
    <row r="11" customHeight="1" spans="1:8">
      <c r="A11" s="6" t="str">
        <v>广州</v>
      </c>
      <c r="B11" s="6" t="str">
        <v>广州二区</v>
      </c>
      <c r="C11" s="6" t="str">
        <v>小象超市-花地湾站-GZ0124</v>
      </c>
    </row>
    <row r="12" customHeight="1" spans="1:8">
      <c r="A12" s="6" t="str">
        <v>广州</v>
      </c>
      <c r="B12" s="6" t="str">
        <v>广州二区</v>
      </c>
      <c r="C12" s="6" t="str">
        <v>小象超市-龙溪中路站-GZ0137</v>
      </c>
    </row>
    <row r="13" customHeight="1" spans="1:8">
      <c r="A13" s="6" t="str">
        <v>广州</v>
      </c>
      <c r="B13" s="6" t="str">
        <v>广州三区</v>
      </c>
      <c r="C13" s="6" t="str">
        <v>小象超市-新市站-GZ0009</v>
      </c>
    </row>
    <row r="14" customHeight="1" spans="1:8">
      <c r="A14" s="6" t="str">
        <v>广州</v>
      </c>
      <c r="B14" s="6" t="str">
        <v>广州三区</v>
      </c>
      <c r="C14" s="6" t="str">
        <v>小象超市-太和站-GZ0093</v>
      </c>
    </row>
    <row r="15" customHeight="1" spans="1:8">
      <c r="A15" s="6" t="str">
        <v>广州</v>
      </c>
      <c r="B15" s="6" t="str">
        <v>广州三区</v>
      </c>
      <c r="C15" s="6" t="str">
        <v>小象超市-远景路站-GZ0114</v>
      </c>
    </row>
    <row r="16" customHeight="1" spans="1:8">
      <c r="A16" s="6" t="str">
        <v>广州</v>
      </c>
      <c r="B16" s="6" t="str">
        <v>广州三区</v>
      </c>
      <c r="C16" s="6" t="str">
        <v>小象超市-白云三元里站-GZ0155</v>
      </c>
    </row>
    <row r="17" customHeight="1" spans="1:3">
      <c r="A17" s="6" t="str">
        <v>广州</v>
      </c>
      <c r="B17" s="6" t="str">
        <v>广州三区</v>
      </c>
      <c r="C17" s="6" t="str">
        <v>小象超市-白云鹤边站-GZ0200</v>
      </c>
    </row>
    <row r="18" customHeight="1" spans="1:3">
      <c r="A18" s="6" t="str">
        <v>广州</v>
      </c>
      <c r="B18" s="6" t="str">
        <v>广州四区</v>
      </c>
      <c r="C18" s="6" t="str">
        <v>小象超市-昌岗站-GZ0101</v>
      </c>
    </row>
    <row r="19" customHeight="1" spans="1:3">
      <c r="A19" s="6" t="str">
        <v>广州</v>
      </c>
      <c r="B19" s="6" t="str">
        <v>广州四区</v>
      </c>
      <c r="C19" s="6" t="str">
        <v>小象超市-番禺沙湾站-GZ0160</v>
      </c>
    </row>
    <row r="20" customHeight="1" spans="1:3">
      <c r="A20" s="6" t="str">
        <v>广州</v>
      </c>
      <c r="B20" s="6" t="str">
        <v>广州四区</v>
      </c>
      <c r="C20" s="6" t="str">
        <v>小象超市-市南路站-GZ0143</v>
      </c>
    </row>
    <row r="21" customHeight="1" spans="1:3">
      <c r="A21" s="6" t="str">
        <v>广州</v>
      </c>
      <c r="B21" s="6" t="str">
        <v>广州四区</v>
      </c>
      <c r="C21" s="6" t="str">
        <v>小象超市-沙园站-GZ0031</v>
      </c>
    </row>
    <row r="22" customHeight="1" spans="1:3">
      <c r="A22" s="6" t="str">
        <v>深圳</v>
      </c>
      <c r="B22" s="6" t="str">
        <v>深圳一区</v>
      </c>
      <c r="C22" s="6" t="str">
        <v>小象超市-南油站-SZ0016</v>
      </c>
    </row>
    <row r="23" customHeight="1" spans="1:3">
      <c r="A23" s="6" t="str">
        <v>深圳</v>
      </c>
      <c r="B23" s="6" t="str">
        <v>深圳一区</v>
      </c>
      <c r="C23" s="6" t="str">
        <v>小象超市-长旺站-SZ0154</v>
      </c>
    </row>
    <row r="24" customHeight="1" spans="1:3">
      <c r="A24" s="6" t="str">
        <v>深圳</v>
      </c>
      <c r="B24" s="6" t="str">
        <v>深圳一区</v>
      </c>
      <c r="C24" s="6" t="str">
        <v>小象超市-福星站-SZ0156</v>
      </c>
    </row>
    <row r="25" customHeight="1" spans="1:3">
      <c r="A25" s="6" t="str">
        <v>深圳</v>
      </c>
      <c r="B25" s="6" t="str">
        <v>深圳一区</v>
      </c>
      <c r="C25" s="6" t="str">
        <v>小象超市-光辉站-SZ0282</v>
      </c>
    </row>
    <row r="26" customHeight="1" spans="1:3">
      <c r="A26" s="6" t="str">
        <v>深圳</v>
      </c>
      <c r="B26" s="6" t="str">
        <v>深圳一区</v>
      </c>
      <c r="C26" s="6" t="str">
        <v>小象超市-油联站-SZ0150</v>
      </c>
    </row>
    <row r="27" customHeight="1" spans="1:3">
      <c r="A27" s="6" t="str">
        <v>深圳</v>
      </c>
      <c r="B27" s="6" t="str">
        <v>深圳一区</v>
      </c>
      <c r="C27" s="6" t="str">
        <v>小象超市-灵芝站-SZ0289</v>
      </c>
    </row>
    <row r="28" customHeight="1" spans="1:3">
      <c r="A28" s="6" t="str">
        <v>深圳</v>
      </c>
      <c r="B28" s="6" t="str">
        <v>深圳二区</v>
      </c>
      <c r="C28" s="6" t="str">
        <v>小象超市-翔鸽站-SZ0129</v>
      </c>
    </row>
    <row r="29" customHeight="1" spans="1:3">
      <c r="A29" s="6" t="str">
        <v>深圳</v>
      </c>
      <c r="B29" s="6" t="str">
        <v>深圳二区</v>
      </c>
      <c r="C29" s="6" t="str">
        <v>小象超市-蓝海站-SZ0221</v>
      </c>
    </row>
    <row r="30" customHeight="1" spans="1:3">
      <c r="A30" s="6" t="str">
        <v>深圳</v>
      </c>
      <c r="B30" s="6" t="str">
        <v>深圳二区</v>
      </c>
      <c r="C30" s="6" t="str">
        <v>小象超市-龙园站-SZ0177</v>
      </c>
    </row>
    <row r="31" customHeight="1" spans="1:3">
      <c r="A31" s="6" t="str">
        <v>深圳</v>
      </c>
      <c r="B31" s="6" t="str">
        <v>深圳二区</v>
      </c>
      <c r="C31" s="6" t="str">
        <v>小象超市-振环站-SZ0227</v>
      </c>
    </row>
    <row r="32" customHeight="1" spans="1:3">
      <c r="A32" s="6" t="str">
        <v>深圳</v>
      </c>
      <c r="B32" s="6" t="str">
        <v>深圳二区</v>
      </c>
      <c r="C32" s="6" t="str">
        <v>小象超市-大发站-SZ0276</v>
      </c>
    </row>
    <row r="33" customHeight="1" spans="1:3">
      <c r="A33" s="6" t="str">
        <v>深圳</v>
      </c>
      <c r="B33" s="6" t="str">
        <v>深圳二区</v>
      </c>
      <c r="C33" s="6" t="str">
        <v>小象超市-太安站-SZ0114</v>
      </c>
    </row>
    <row r="34" customHeight="1" spans="1:3">
      <c r="A34" s="6" t="str">
        <v>上海</v>
      </c>
      <c r="B34" s="6" t="str">
        <v>上海一区</v>
      </c>
      <c r="C34" s="6" t="str">
        <v>小象超市-云山路站-SH0105</v>
      </c>
    </row>
    <row r="35" customHeight="1" spans="1:3">
      <c r="A35" s="6" t="str">
        <v>上海</v>
      </c>
      <c r="B35" s="6" t="str">
        <v>上海一区</v>
      </c>
      <c r="C35" s="6" t="str">
        <v>小象超市-浦建路站-SH0140</v>
      </c>
    </row>
    <row r="36" customHeight="1" spans="1:3">
      <c r="A36" s="6" t="str">
        <v>上海</v>
      </c>
      <c r="B36" s="6" t="str">
        <v>上海一区</v>
      </c>
      <c r="C36" s="6" t="str">
        <v>小象超市-金海路站-SH0203</v>
      </c>
    </row>
    <row r="37" customHeight="1" spans="1:3">
      <c r="A37" s="6" t="str">
        <v>上海</v>
      </c>
      <c r="B37" s="6" t="str">
        <v>上海一区</v>
      </c>
      <c r="C37" s="6" t="str">
        <v>小象超市-浦三路站-SH0138</v>
      </c>
    </row>
    <row r="38" customHeight="1" spans="1:3">
      <c r="A38" s="6" t="str">
        <v>上海</v>
      </c>
      <c r="B38" s="6" t="str">
        <v>上海二区</v>
      </c>
      <c r="C38" s="6" t="str">
        <v>小象超市-新二路二站-SH0111</v>
      </c>
    </row>
    <row r="39" customHeight="1" spans="1:3">
      <c r="A39" s="6" t="str">
        <v>上海</v>
      </c>
      <c r="B39" s="6" t="str">
        <v>上海二区</v>
      </c>
      <c r="C39" s="6" t="str">
        <v>小象超市-月罗路站-SH0156</v>
      </c>
    </row>
    <row r="40" customHeight="1" spans="1:3">
      <c r="A40" s="6" t="str">
        <v>上海</v>
      </c>
      <c r="B40" s="6" t="str">
        <v>上海二区</v>
      </c>
      <c r="C40" s="6" t="str">
        <v>小象超市-杨盛路站-SH0226</v>
      </c>
    </row>
    <row r="41" customHeight="1" spans="1:3">
      <c r="A41" s="6" t="str">
        <v>上海</v>
      </c>
      <c r="B41" s="6" t="str">
        <v>上海二区</v>
      </c>
      <c r="C41" s="6" t="str">
        <v>小象超市-丰镇路站-SH0229</v>
      </c>
    </row>
    <row r="42" customHeight="1" spans="1:3">
      <c r="A42" s="6" t="str">
        <v>上海</v>
      </c>
      <c r="B42" s="6" t="str">
        <v>上海三区</v>
      </c>
      <c r="C42" s="6" t="str">
        <v>小象超市-平陆路站-SH0097</v>
      </c>
    </row>
    <row r="43" customHeight="1" spans="1:3">
      <c r="A43" s="6" t="str">
        <v>上海</v>
      </c>
      <c r="B43" s="6" t="str">
        <v>上海三区</v>
      </c>
      <c r="C43" s="6" t="str">
        <v>小象超市-新川路二站-SH0116</v>
      </c>
    </row>
    <row r="44" customHeight="1" spans="1:3">
      <c r="A44" s="6" t="str">
        <v>上海</v>
      </c>
      <c r="B44" s="6" t="str">
        <v>上海三区</v>
      </c>
      <c r="C44" s="6" t="str">
        <v>小象超市-新会路站-SH0130</v>
      </c>
    </row>
    <row r="45" customHeight="1" spans="1:3">
      <c r="A45" s="6" t="str">
        <v>上海</v>
      </c>
      <c r="B45" s="6" t="str">
        <v>上海三区</v>
      </c>
      <c r="C45" s="6" t="str">
        <v>小象超市-金沙江路站-SH0171</v>
      </c>
    </row>
    <row r="46" customHeight="1" spans="1:3">
      <c r="A46" s="6" t="str">
        <v>上海</v>
      </c>
      <c r="B46" s="6" t="str">
        <v>上海四区</v>
      </c>
      <c r="C46" s="6" t="str">
        <v>小象超市-曹安路站-SH0020</v>
      </c>
    </row>
    <row r="47" customHeight="1" spans="1:3">
      <c r="A47" s="6" t="str">
        <v>上海</v>
      </c>
      <c r="B47" s="6" t="str">
        <v>上海四区</v>
      </c>
      <c r="C47" s="6" t="str">
        <v>小象超市-汇川路站-SH0132</v>
      </c>
    </row>
    <row r="48" customHeight="1" spans="1:3">
      <c r="A48" s="6" t="str">
        <v>上海</v>
      </c>
      <c r="B48" s="6" t="str">
        <v>上海四区</v>
      </c>
      <c r="C48" s="6" t="str">
        <v>小象超市-凯旋北路站-SH0137</v>
      </c>
    </row>
    <row r="49" customHeight="1" spans="1:3">
      <c r="A49" s="6" t="str">
        <v>上海</v>
      </c>
      <c r="B49" s="6" t="str">
        <v>上海四区</v>
      </c>
      <c r="C49" s="6" t="str">
        <v>小象超市-五莲路站-SH0214</v>
      </c>
    </row>
    <row r="50" customHeight="1" spans="1:3">
      <c r="A50" s="6" t="str">
        <v>惠州</v>
      </c>
      <c r="B50" s="6" t="str">
        <v>惠州区</v>
      </c>
      <c r="C50" s="6" t="str">
        <v>小象超市-淡水站-HZ1001</v>
      </c>
    </row>
    <row r="51" customHeight="1" spans="1:3">
      <c r="A51" s="6" t="str">
        <v>惠州</v>
      </c>
      <c r="B51" s="6" t="str">
        <v>惠州区</v>
      </c>
      <c r="C51" s="6" t="str">
        <v>小象超市-龙盛站-HZ1003</v>
      </c>
    </row>
    <row r="52" customHeight="1" spans="1:3">
      <c r="A52" s="6" t="str">
        <v>惠州</v>
      </c>
      <c r="B52" s="6" t="str">
        <v>惠州区</v>
      </c>
      <c r="C52" s="6" t="str">
        <v>小象超市-港惠站-HZ1002</v>
      </c>
    </row>
  </sheetData>
  <sheetProtection sheet="1" objects="1"/>
  <protectedRanges>
    <protectedRange sqref="D2:H999" name="可编辑区域" securityDescriptor="O:WDG:WDD:"/>
  </protectedRange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L12"/>
  <sheetViews>
    <sheetView workbookViewId="0">
      <selection activeCell="K6" sqref="K6"/>
    </sheetView>
  </sheetViews>
  <sheetFormatPr defaultColWidth="8.61261261261261" defaultRowHeight="21" customHeight="1"/>
  <cols>
    <col min="1" max="1" width="10.018018018018" style="2" customWidth="1"/>
    <col min="2" max="3" width="8.61261261261261" style="2"/>
    <col min="4" max="4" width="12.3423423423423" style="2" customWidth="1"/>
    <col min="5" max="5" width="10.2612612612613" style="2" customWidth="1"/>
    <col min="6" max="6" width="8.61261261261261" style="2"/>
    <col min="7" max="10" width="9.5045045045045" style="2" customWidth="1"/>
    <col min="11" max="12" width="8.61261261261261" style="2"/>
    <col min="13" max="16384" width="8.61261261261261" style="3"/>
  </cols>
  <sheetData>
    <row r="1" s="1" customFormat="1" customHeight="1" spans="1:12">
      <c r="A1" s="4" t="s">
        <v>0</v>
      </c>
      <c r="B1" s="4" t="s">
        <v>128</v>
      </c>
      <c r="C1" s="5"/>
      <c r="D1" s="4" t="s">
        <v>1</v>
      </c>
      <c r="E1" s="4" t="s">
        <v>129</v>
      </c>
      <c r="F1" s="5"/>
      <c r="G1" s="5" t="s">
        <v>6</v>
      </c>
      <c r="H1" s="4" t="s">
        <v>51</v>
      </c>
      <c r="I1" s="4" t="s">
        <v>78</v>
      </c>
      <c r="J1" s="4" t="s">
        <v>115</v>
      </c>
      <c r="K1" s="5"/>
      <c r="L1" s="5"/>
    </row>
    <row r="2" customHeight="1" spans="1:12">
      <c r="A2" s="6" t="s">
        <v>6</v>
      </c>
      <c r="B2" s="6">
        <v>1</v>
      </c>
      <c r="D2" s="6" t="s">
        <v>7</v>
      </c>
      <c r="E2" s="6">
        <v>1001</v>
      </c>
      <c r="G2" s="2" t="s">
        <v>7</v>
      </c>
      <c r="H2" s="2" t="s">
        <v>52</v>
      </c>
      <c r="I2" s="2" t="s">
        <v>79</v>
      </c>
      <c r="J2" s="2" t="s">
        <v>116</v>
      </c>
    </row>
    <row r="3" customHeight="1" spans="1:12">
      <c r="A3" s="6" t="s">
        <v>51</v>
      </c>
      <c r="B3" s="6">
        <v>2</v>
      </c>
      <c r="D3" s="6" t="s">
        <v>20</v>
      </c>
      <c r="E3" s="6">
        <v>1002</v>
      </c>
      <c r="G3" s="2" t="s">
        <v>20</v>
      </c>
      <c r="H3" s="2" t="s">
        <v>65</v>
      </c>
      <c r="I3" s="2" t="s">
        <v>88</v>
      </c>
    </row>
    <row r="4" customHeight="1" spans="1:12">
      <c r="A4" s="6" t="s">
        <v>78</v>
      </c>
      <c r="B4" s="6">
        <v>3</v>
      </c>
      <c r="D4" s="6" t="s">
        <v>31</v>
      </c>
      <c r="E4" s="6">
        <v>1003</v>
      </c>
      <c r="G4" s="2" t="s">
        <v>31</v>
      </c>
      <c r="I4" s="2" t="s">
        <v>97</v>
      </c>
    </row>
    <row r="5" customHeight="1" spans="1:12">
      <c r="A5" s="6" t="s">
        <v>115</v>
      </c>
      <c r="B5" s="6">
        <v>4</v>
      </c>
      <c r="D5" s="6" t="s">
        <v>42</v>
      </c>
      <c r="E5" s="6">
        <v>1004</v>
      </c>
      <c r="G5" s="2" t="s">
        <v>42</v>
      </c>
      <c r="I5" s="2" t="s">
        <v>106</v>
      </c>
    </row>
    <row r="6" customHeight="1" spans="1:12">
      <c r="A6" s="7"/>
      <c r="B6" s="7"/>
      <c r="D6" s="6" t="s">
        <v>52</v>
      </c>
      <c r="E6" s="6">
        <v>2001</v>
      </c>
    </row>
    <row r="7" customHeight="1" spans="1:12">
      <c r="D7" s="6" t="s">
        <v>65</v>
      </c>
      <c r="E7" s="6">
        <v>2002</v>
      </c>
    </row>
    <row r="8" customHeight="1" spans="1:12">
      <c r="D8" s="6" t="s">
        <v>79</v>
      </c>
      <c r="E8" s="6">
        <v>3001</v>
      </c>
    </row>
    <row r="9" customHeight="1" spans="1:12">
      <c r="D9" s="6" t="s">
        <v>88</v>
      </c>
      <c r="E9" s="6">
        <v>3002</v>
      </c>
    </row>
    <row r="10" customHeight="1" spans="1:12">
      <c r="D10" s="6" t="s">
        <v>97</v>
      </c>
      <c r="E10" s="6">
        <v>3003</v>
      </c>
    </row>
    <row r="11" customHeight="1" spans="1:12">
      <c r="D11" s="6" t="s">
        <v>106</v>
      </c>
      <c r="E11" s="6">
        <v>3004</v>
      </c>
    </row>
    <row r="12" customHeight="1" spans="1:12">
      <c r="D12" s="6" t="s">
        <v>116</v>
      </c>
      <c r="E12" s="6">
        <v>4001</v>
      </c>
    </row>
  </sheetData>
  <pageMargins left="0.75" right="0.75" top="1" bottom="1" header="0.5" footer="0.5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4" master="" otherUserPermission="visible">
    <arrUserId title="可编辑区域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站点增改</vt:lpstr>
      <vt:lpstr>目标线安全线</vt:lpstr>
      <vt:lpstr>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Tree</cp:lastModifiedBy>
  <dcterms:created xsi:type="dcterms:W3CDTF">2023-05-12T11:15:00Z</dcterms:created>
  <dcterms:modified xsi:type="dcterms:W3CDTF">2026-01-17T07:05:11Z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B17B649481F34FA8843BEB15EA35E636_12</vt:lpwstr>
  </property>
  <property fmtid="{D5CDD505-2E9C-101B-9397-08002B2CF9AE}" pid="4" name="CalculationRule">
    <vt:i4>0</vt:i4>
  </property>
</Properties>
</file>